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Boundary State" sheetId="6" state="visible" r:id="rId6"/>
    <sheet xmlns:r="http://schemas.openxmlformats.org/officeDocument/2006/relationships" name="Energy State" sheetId="7" state="visible" r:id="rId7"/>
    <sheet xmlns:r="http://schemas.openxmlformats.org/officeDocument/2006/relationships" name="Dynamic Memory" sheetId="8" state="visible" r:id="rId8"/>
    <sheet xmlns:r="http://schemas.openxmlformats.org/officeDocument/2006/relationships" name="Controller Stat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6" activeCellId="0" sqref="B6"/>
    </sheetView>
  </sheetViews>
  <sheetFormatPr baseColWidth="8" defaultColWidth="11.53515625" defaultRowHeight="15" customHeight="0" zeroHeight="0" outlineLevelRow="0"/>
  <cols>
    <col width="141.4" customWidth="1" style="2" min="1" max="1"/>
    <col width="93.12" customWidth="1" style="2" min="2" max="2"/>
    <col width="18.82" customWidth="1" style="2" min="3" max="3"/>
    <col width="15.06" customWidth="1" style="2" min="4" max="4"/>
    <col width="16.18" customWidth="1" style="2" min="5" max="5"/>
    <col width="14.65" customWidth="1" style="2" min="6" max="7"/>
    <col width="18.26" customWidth="1" style="2" min="8" max="8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10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B5" s="2" t="inlineStr">
        <is>
          <t>Component 1</t>
        </is>
      </c>
      <c r="C5" s="2" t="inlineStr">
        <is>
          <t>Component 2</t>
        </is>
      </c>
    </row>
    <row r="6" ht="15" customHeight="1" s="3">
      <c r="A6" s="2" t="inlineStr">
        <is>
          <t>Component Name</t>
        </is>
      </c>
      <c r="B6" s="2" t="inlineStr">
        <is>
          <t>Water</t>
        </is>
      </c>
      <c r="C6" s="2" t="inlineStr">
        <is>
          <t>Methanol</t>
        </is>
      </c>
    </row>
    <row r="7" ht="15" customHeight="1" s="3">
      <c r="A7" s="2" t="inlineStr">
        <is>
          <t>Condenser Duty Mode</t>
        </is>
      </c>
      <c r="B7" s="2" t="inlineStr">
        <is>
          <t>specified</t>
        </is>
      </c>
    </row>
    <row r="8" ht="15" customHeight="1" s="3">
      <c r="A8" s="2" t="inlineStr">
        <is>
          <t>Condenser Duty (Btu/h)</t>
        </is>
      </c>
      <c r="B8" s="2" t="n">
        <v>-364900000</v>
      </c>
    </row>
    <row r="9" ht="15" customHeight="1" s="3">
      <c r="A9" s="2" t="inlineStr">
        <is>
          <t>Reboiler Duty (Btu/h)</t>
        </is>
      </c>
      <c r="B9" s="2" t="n">
        <v>368680000</v>
      </c>
    </row>
    <row r="10" ht="15" customHeight="1" s="3">
      <c r="A10" s="2" t="inlineStr">
        <is>
          <t>Runtime Mode</t>
        </is>
      </c>
      <c r="B10" s="2" t="inlineStr">
        <is>
          <t>parity</t>
        </is>
      </c>
    </row>
    <row r="11" ht="15" customHeight="1" s="3">
      <c r="A11" s="2" t="inlineStr">
        <is>
          <t>Pressure Model</t>
        </is>
      </c>
      <c r="B11" s="2" t="inlineStr">
        <is>
          <t>Hydraulic</t>
        </is>
      </c>
    </row>
    <row r="12" ht="15" customHeight="1" s="3">
      <c r="A12" s="2" t="inlineStr">
        <is>
          <t>Vapor Flow Model</t>
        </is>
      </c>
      <c r="B12" s="2" t="inlineStr">
        <is>
          <t>energy</t>
        </is>
      </c>
    </row>
    <row r="13" ht="15" customHeight="1" s="3">
      <c r="A13" s="2" t="inlineStr">
        <is>
          <t>Include Energy</t>
        </is>
      </c>
      <c r="B13" s="2">
        <f>TRUE()</f>
        <v/>
      </c>
    </row>
    <row r="14" ht="15" customHeight="1" s="3">
      <c r="A14" s="2" t="inlineStr">
        <is>
          <t>Simulation Length (min)</t>
        </is>
      </c>
      <c r="B14" s="2" t="n">
        <v>10</v>
      </c>
    </row>
    <row r="15" ht="15" customHeight="1" s="3">
      <c r="A15" s="2" t="inlineStr">
        <is>
          <t>Timestep (sec)</t>
        </is>
      </c>
      <c r="B15" s="2" t="n">
        <v>0.2</v>
      </c>
    </row>
    <row r="16" ht="15" customHeight="1" s="3">
      <c r="A16" s="2" t="inlineStr">
        <is>
          <t>Log Frequency (timesteps)</t>
        </is>
      </c>
      <c r="B16" s="2" t="n">
        <v>10</v>
      </c>
    </row>
    <row r="17" ht="15" customHeight="1" s="3">
      <c r="A17" s="2" t="inlineStr">
        <is>
          <t>Stage time constant [tau] (sec)</t>
        </is>
      </c>
      <c r="B17" s="2" t="n">
        <v>4</v>
      </c>
    </row>
    <row r="18" ht="15" customHeight="1" s="3">
      <c r="A18" s="2" t="inlineStr">
        <is>
          <t>Thermo Mode</t>
        </is>
      </c>
      <c r="B18" s="2" t="inlineStr">
        <is>
          <t>dwsim</t>
        </is>
      </c>
    </row>
    <row r="19" ht="15" customHeight="1" s="3">
      <c r="A19" s="2" t="inlineStr">
        <is>
          <t>Source ChemSep Workbook</t>
        </is>
      </c>
      <c r="B19" s="2" t="inlineStr">
        <is>
          <t>C:\Users\Thomas Zvolensky\Documents\Python Scripts\Dynamic_DistillationII\water-methanol-ChemSep.xls</t>
        </is>
      </c>
    </row>
    <row r="20" ht="15" customHeight="1" s="3">
      <c r="A20" s="2" t="inlineStr">
        <is>
          <t>Source Notes</t>
        </is>
      </c>
      <c r="B20" s="2" t="inlineStr">
        <is>
          <t>ChemSep Excess Enthalpy seed; pressure overridden linearly for dynamic initialization.</t>
        </is>
      </c>
    </row>
    <row r="21" ht="15" customHeight="1" s="3">
      <c r="A21" s="2" t="inlineStr">
        <is>
          <t>Top Accumulator Holdup (lbmol)</t>
        </is>
      </c>
      <c r="B21" s="2" t="n">
        <v>1322.77333333333</v>
      </c>
    </row>
    <row r="22" ht="15" customHeight="1" s="3">
      <c r="A22" s="2" t="inlineStr">
        <is>
          <t>Bottom Holdup (lbmol)</t>
        </is>
      </c>
      <c r="B22" s="2" t="n">
        <v>1322.77333333333</v>
      </c>
    </row>
    <row r="23" ht="15" customHeight="1" s="3">
      <c r="A23" s="2" t="inlineStr">
        <is>
          <t>Overhead Vapor Line Volume (ft3)</t>
        </is>
      </c>
      <c r="B23" s="2" t="n">
        <v>56</v>
      </c>
    </row>
    <row r="24" ht="15" customHeight="1" s="3">
      <c r="A24" s="2" t="inlineStr">
        <is>
          <t>Condenser Vapor Volume (ft3)</t>
        </is>
      </c>
      <c r="B24" s="2" t="n">
        <v>100</v>
      </c>
    </row>
    <row r="26" ht="15" customHeight="1" s="3">
      <c r="A26" s="2" t="inlineStr">
        <is>
          <t>Stage Geometry</t>
        </is>
      </c>
    </row>
    <row r="27" ht="15" customHeight="1" s="3">
      <c r="A27" s="2" t="inlineStr">
        <is>
          <t>Start Stage</t>
        </is>
      </c>
      <c r="B27" s="2" t="inlineStr">
        <is>
          <t>End Stage</t>
        </is>
      </c>
      <c r="C27" s="2" t="inlineStr">
        <is>
          <t>Diameter (ft)</t>
        </is>
      </c>
      <c r="D27" s="2" t="inlineStr">
        <is>
          <t>Tray Spacing (ft)</t>
        </is>
      </c>
      <c r="E27" s="2" t="inlineStr">
        <is>
          <t>Gas Void Fraction</t>
        </is>
      </c>
      <c r="F27" s="2" t="inlineStr">
        <is>
          <t>Weir Height (in)</t>
        </is>
      </c>
      <c r="G27" s="2" t="inlineStr">
        <is>
          <t>Weir Length (ft)</t>
        </is>
      </c>
      <c r="H27" s="2" t="inlineStr">
        <is>
          <t>Active Area Fraction</t>
        </is>
      </c>
    </row>
    <row r="28" ht="15" customHeight="1" s="3">
      <c r="A28" s="2" t="n">
        <v>2</v>
      </c>
      <c r="B28" s="2" t="n">
        <v>9</v>
      </c>
      <c r="C28" s="2" t="n">
        <v>20.3333333333333</v>
      </c>
      <c r="D28" s="2" t="n">
        <v>2</v>
      </c>
      <c r="E28" s="2" t="n">
        <v>0.75</v>
      </c>
      <c r="F28" s="2" t="n">
        <v>2</v>
      </c>
      <c r="G28" s="2" t="n">
        <v>15</v>
      </c>
      <c r="H28" s="2" t="n">
        <v>0.8</v>
      </c>
    </row>
    <row r="30" ht="15" customHeight="1" s="3">
      <c r="A30" s="2" t="inlineStr">
        <is>
          <t>Geometry Notes</t>
        </is>
      </c>
    </row>
    <row r="31" ht="15" customHeight="1" s="3">
      <c r="A31" s="2" t="inlineStr">
        <is>
          <t>Uniform internal-tray geometry for stages 2-9.</t>
        </is>
      </c>
    </row>
    <row r="32" ht="15" customHeight="1" s="3">
      <c r="A32" s="2" t="inlineStr">
        <is>
          <t>First-pass assumptions copied from the 18-stage water-methanol companion case: 20 ft 4 in diameter, 2 ft spacing, 2 in weir, 15 ft weir length, 0.80 active area fraction.</t>
        </is>
      </c>
    </row>
    <row r="33" ht="15" customHeight="1" s="3">
      <c r="A33" s="2" t="inlineStr">
        <is>
          <t>Condenser Pressure Drop (psi)</t>
        </is>
      </c>
      <c r="B33" s="2" t="n">
        <v>0.333333333333333</v>
      </c>
    </row>
    <row r="34" ht="15" customHeight="1" s="3">
      <c r="A34" s="2" t="inlineStr">
        <is>
          <t>Equilibrium Relaxation Mode</t>
        </is>
      </c>
      <c r="B34" s="2" t="inlineStr">
        <is>
          <t>composition-only</t>
        </is>
      </c>
    </row>
    <row r="35" ht="15" customHeight="1" s="3">
      <c r="A35" s="2" t="inlineStr">
        <is>
          <t>Equilibrium Tau (sec)</t>
        </is>
      </c>
      <c r="B35" s="2" t="n">
        <v>4</v>
      </c>
    </row>
    <row r="36" ht="15" customHeight="1" s="3">
      <c r="A36" s="2" t="inlineStr">
        <is>
          <t>Equilibrium Energy Damping Gain</t>
        </is>
      </c>
      <c r="B36" s="2" t="n">
        <v>0.2</v>
      </c>
    </row>
    <row r="37" ht="15" customHeight="1" s="3">
      <c r="A37" s="2" t="inlineStr">
        <is>
          <t>Equilibrium Relaxation Live PR</t>
        </is>
      </c>
      <c r="B37" s="2">
        <f>TRUE()</f>
        <v/>
      </c>
    </row>
    <row r="38" ht="15" customHeight="1" s="3">
      <c r="A38" s="2" t="inlineStr">
        <is>
          <t>Vapor Holdup Relaxation (sec)</t>
        </is>
      </c>
      <c r="B38" s="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2" activeCellId="0" sqref="E12"/>
    </sheetView>
  </sheetViews>
  <sheetFormatPr baseColWidth="8" defaultColWidth="8.6796875" defaultRowHeight="15" customHeight="0" zeroHeight="0" outlineLevelRow="0"/>
  <cols>
    <col width="5.86" customWidth="1" style="2" min="1" max="1"/>
    <col width="15.57" customWidth="1" style="2" min="2" max="2"/>
    <col width="14.29" customWidth="1" style="2" min="3" max="3"/>
    <col width="20.29" customWidth="1" style="2" min="4" max="4"/>
    <col width="20.42" customWidth="1" style="2" min="5" max="5"/>
    <col width="31" customWidth="1" style="2" min="6" max="7"/>
    <col width="31.15" customWidth="1" style="2" min="8" max="9"/>
  </cols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Vapor Composition Component 1</t>
        </is>
      </c>
      <c r="G1" s="2" t="inlineStr">
        <is>
          <t>Vapor Composition Component 2</t>
        </is>
      </c>
      <c r="H1" s="2" t="inlineStr">
        <is>
          <t>Liquid Composition Component 1</t>
        </is>
      </c>
      <c r="I1" s="2" t="inlineStr">
        <is>
          <t>Liquid Composition Component 2</t>
        </is>
      </c>
      <c r="J1" s="2" t="inlineStr">
        <is>
          <t>Liquid Holdup (lbmol)</t>
        </is>
      </c>
      <c r="K1" s="2" t="inlineStr">
        <is>
          <t>Vapor Holdup (lbmol)</t>
        </is>
      </c>
    </row>
    <row r="2" ht="15" customHeight="1" s="3">
      <c r="A2" s="2" t="n">
        <v>1</v>
      </c>
      <c r="B2" s="2" t="n">
        <v>149.072</v>
      </c>
      <c r="C2" s="2" t="n">
        <v>14.7</v>
      </c>
      <c r="D2" s="2" t="n">
        <v>0</v>
      </c>
      <c r="E2" s="2" t="n">
        <v>15873.3</v>
      </c>
      <c r="F2" s="2" t="n">
        <v>0.179413081184406</v>
      </c>
      <c r="G2" s="2" t="n">
        <v>0.820586918815594</v>
      </c>
      <c r="H2" s="2" t="n">
        <v>0.179413081184406</v>
      </c>
      <c r="I2" s="2" t="n">
        <v>0.820586918815594</v>
      </c>
      <c r="J2" s="2" t="n">
        <v>2.220446049250313e-16</v>
      </c>
      <c r="K2" s="2" t="n">
        <v>0</v>
      </c>
    </row>
    <row r="3" ht="15" customHeight="1" s="3">
      <c r="A3" s="2" t="n">
        <v>2</v>
      </c>
      <c r="B3" s="2" t="n">
        <v>150.2240000000393</v>
      </c>
      <c r="C3" s="2" t="n">
        <v>15.03333333333333</v>
      </c>
      <c r="D3" s="2" t="n">
        <v>23260.98047704112</v>
      </c>
      <c r="E3" s="2" t="n">
        <v>15733.8</v>
      </c>
      <c r="F3" s="2" t="n">
        <v>0.179413081184406</v>
      </c>
      <c r="G3" s="2" t="n">
        <v>0.820586918815594</v>
      </c>
      <c r="H3" s="2" t="n">
        <v>0.1466185757292827</v>
      </c>
      <c r="I3" s="2" t="n">
        <v>0.8533814242707173</v>
      </c>
      <c r="J3" s="2" t="n">
        <v>124.7266616829812</v>
      </c>
      <c r="K3" s="2" t="n">
        <v>8.506609655699055</v>
      </c>
    </row>
    <row r="4" ht="15" customHeight="1" s="3">
      <c r="A4" s="2" t="n">
        <v>3</v>
      </c>
      <c r="B4" s="2" t="n">
        <v>152.078</v>
      </c>
      <c r="C4" s="2" t="n">
        <v>15.39116307295288</v>
      </c>
      <c r="D4" s="2" t="n">
        <v>23147.31949208402</v>
      </c>
      <c r="E4" s="2" t="n">
        <v>15517.3</v>
      </c>
      <c r="F4" s="2" t="n">
        <v>0.2197888796470091</v>
      </c>
      <c r="G4" s="2" t="n">
        <v>0.780211120352991</v>
      </c>
      <c r="H4" s="2" t="n">
        <v>0.208163435817506</v>
      </c>
      <c r="I4" s="2" t="n">
        <v>0.791836564182494</v>
      </c>
      <c r="J4" s="2" t="n">
        <v>127.7221786173136</v>
      </c>
      <c r="K4" s="2" t="n">
        <v>8.440269271229184</v>
      </c>
    </row>
    <row r="5" ht="15" customHeight="1" s="3">
      <c r="A5" s="2" t="n">
        <v>4</v>
      </c>
      <c r="B5" s="2" t="n">
        <v>155.138</v>
      </c>
      <c r="C5" s="2" t="n">
        <v>15.7384463323525</v>
      </c>
      <c r="D5" s="2" t="n">
        <v>23002.04931214865</v>
      </c>
      <c r="E5" s="2" t="n">
        <v>15193.1</v>
      </c>
      <c r="F5" s="2" t="n">
        <v>0.2651009936246953</v>
      </c>
      <c r="G5" s="2" t="n">
        <v>0.7348990063753048</v>
      </c>
      <c r="H5" s="2" t="n">
        <v>0.282430223987775</v>
      </c>
      <c r="I5" s="2" t="n">
        <v>0.717569776012225</v>
      </c>
      <c r="J5" s="2" t="n">
        <v>133.7386451887146</v>
      </c>
      <c r="K5" s="2" t="n">
        <v>8.363124992960543</v>
      </c>
    </row>
    <row r="6" ht="15" customHeight="1" s="3">
      <c r="A6" s="2" t="n">
        <v>5</v>
      </c>
      <c r="B6" s="2" t="n">
        <v>160.052</v>
      </c>
      <c r="C6" s="2" t="n">
        <v>16.06704216180503</v>
      </c>
      <c r="D6" s="2" t="n">
        <v>22823.70938366975</v>
      </c>
      <c r="E6" s="2" t="n">
        <v>14746.9</v>
      </c>
      <c r="F6" s="2" t="n">
        <v>0.3151828745107387</v>
      </c>
      <c r="G6" s="2" t="n">
        <v>0.6848171254892613</v>
      </c>
      <c r="H6" s="2" t="n">
        <v>0.3720092557805096</v>
      </c>
      <c r="I6" s="2" t="n">
        <v>0.6279907442194903</v>
      </c>
      <c r="J6" s="2" t="n">
        <v>140.5752730827302</v>
      </c>
      <c r="K6" s="2" t="n">
        <v>8.296618298326688</v>
      </c>
    </row>
    <row r="7" ht="15" customHeight="1" s="3">
      <c r="A7" s="2" t="n">
        <v>6</v>
      </c>
      <c r="B7" s="2" t="n">
        <v>167.558</v>
      </c>
      <c r="C7" s="2" t="n">
        <v>16.35732448631842</v>
      </c>
      <c r="D7" s="2" t="n">
        <v>22615.79561151739</v>
      </c>
      <c r="E7" s="2" t="n">
        <v>14249.7</v>
      </c>
      <c r="F7" s="2" t="n">
        <v>0.3700589388962993</v>
      </c>
      <c r="G7" s="2" t="n">
        <v>0.6299410611037007</v>
      </c>
      <c r="H7" s="2" t="n">
        <v>0.4690735977675781</v>
      </c>
      <c r="I7" s="2" t="n">
        <v>0.5309264022324218</v>
      </c>
      <c r="J7" s="2" t="n">
        <v>148.2216778695075</v>
      </c>
      <c r="K7" s="2" t="n">
        <v>8.342154984254908</v>
      </c>
    </row>
    <row r="8" ht="15" customHeight="1" s="3">
      <c r="A8" s="2" t="n">
        <v>7</v>
      </c>
      <c r="B8" s="2" t="n">
        <v>176.9</v>
      </c>
      <c r="C8" s="2" t="n">
        <v>16.61942910970589</v>
      </c>
      <c r="D8" s="2" t="n">
        <v>22427.10115285523</v>
      </c>
      <c r="E8" s="2" t="n">
        <v>13903.4</v>
      </c>
      <c r="F8" s="2" t="n">
        <v>0.420088702783218</v>
      </c>
      <c r="G8" s="2" t="n">
        <v>0.579911297216782</v>
      </c>
      <c r="H8" s="2" t="n">
        <v>0.550351937491145</v>
      </c>
      <c r="I8" s="2" t="n">
        <v>0.4496480625088549</v>
      </c>
      <c r="J8" s="2" t="n">
        <v>167.20309721247</v>
      </c>
      <c r="K8" s="2" t="n">
        <v>7.661471283108506</v>
      </c>
    </row>
    <row r="9" ht="15" customHeight="1" s="3">
      <c r="A9" s="2" t="n">
        <v>8</v>
      </c>
      <c r="B9" s="2" t="n">
        <v>184.37</v>
      </c>
      <c r="C9" s="2" t="n">
        <v>17.14025449224087</v>
      </c>
      <c r="D9" s="2" t="n">
        <v>21951.90933707662</v>
      </c>
      <c r="E9" s="2" t="n">
        <v>28948.7</v>
      </c>
      <c r="F9" s="2" t="n">
        <v>0.4455127678930174</v>
      </c>
      <c r="G9" s="2" t="n">
        <v>0.5544872321069827</v>
      </c>
      <c r="H9" s="2" t="n">
        <v>0.5595409808957901</v>
      </c>
      <c r="I9" s="2" t="n">
        <v>0.44045901910421</v>
      </c>
      <c r="J9" s="2" t="n">
        <v>247.0838826758105</v>
      </c>
      <c r="K9" s="2" t="n">
        <v>6.773592982279323</v>
      </c>
    </row>
    <row r="10" ht="15" customHeight="1" s="3">
      <c r="A10" s="2" t="n">
        <v>9</v>
      </c>
      <c r="B10" s="2" t="n">
        <v>202.766</v>
      </c>
      <c r="C10" s="2" t="n">
        <v>17.70000000000001</v>
      </c>
      <c r="D10" s="2" t="n">
        <v>21197.24667138395</v>
      </c>
      <c r="E10" s="2" t="n">
        <v>28977.5</v>
      </c>
      <c r="F10" s="2" t="n">
        <v>0.4623390575863725</v>
      </c>
      <c r="G10" s="2" t="n">
        <v>0.5376609424136276</v>
      </c>
      <c r="H10" s="2" t="n">
        <v>0.5607507834161731</v>
      </c>
      <c r="I10" s="2" t="n">
        <v>0.439249216583827</v>
      </c>
      <c r="J10" s="2" t="n">
        <v>274.9693037322484</v>
      </c>
      <c r="K10" s="2" t="n">
        <v>8.380166835566099</v>
      </c>
    </row>
    <row r="11" ht="15" customHeight="1" s="3">
      <c r="A11" s="2" t="n">
        <v>10</v>
      </c>
      <c r="B11" s="2" t="n">
        <v>202.766</v>
      </c>
      <c r="C11" s="2" t="n">
        <v>17.70000000000001</v>
      </c>
      <c r="D11" s="2" t="n">
        <v>21040.9</v>
      </c>
      <c r="E11" s="2" t="n">
        <v>0</v>
      </c>
      <c r="F11" s="2" t="n">
        <v>0.3878729229240188</v>
      </c>
      <c r="G11" s="2" t="n">
        <v>0.6121270770759812</v>
      </c>
      <c r="H11" s="2" t="n">
        <v>0.827712507050855</v>
      </c>
      <c r="I11" s="2" t="n">
        <v>0.1722874929491451</v>
      </c>
      <c r="J11" s="2" t="n">
        <v>0</v>
      </c>
      <c r="K11" s="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.14" customWidth="1" style="2" min="1" max="1"/>
    <col width="8" customWidth="1" style="2" min="2" max="4"/>
  </cols>
  <sheetData>
    <row r="1" ht="15" customHeight="1" s="3">
      <c r="A1" s="2" t="inlineStr">
        <is>
          <t>Stream</t>
        </is>
      </c>
      <c r="B1" s="2" t="inlineStr">
        <is>
          <t>Feed1</t>
        </is>
      </c>
      <c r="C1" s="2" t="inlineStr">
        <is>
          <t>Top</t>
        </is>
      </c>
      <c r="D1" s="2" t="inlineStr">
        <is>
          <t>Bottom</t>
        </is>
      </c>
    </row>
    <row r="3" ht="15" customHeight="1" s="3">
      <c r="A3" s="2" t="inlineStr">
        <is>
          <t>Stage</t>
        </is>
      </c>
      <c r="B3" s="2" t="n">
        <v>8</v>
      </c>
      <c r="C3" s="2" t="n">
        <v>1</v>
      </c>
      <c r="D3" s="2" t="n">
        <v>10</v>
      </c>
    </row>
    <row r="4" ht="15" customHeight="1" s="3">
      <c r="A4" s="2" t="inlineStr">
        <is>
          <t>Pressure (psia)</t>
        </is>
      </c>
      <c r="B4" s="2" t="n">
        <v>17.0333333333333</v>
      </c>
      <c r="C4" s="2" t="n">
        <v>14.7</v>
      </c>
      <c r="D4" s="2" t="n">
        <v>17.7</v>
      </c>
    </row>
    <row r="5" ht="15" customHeight="1" s="3">
      <c r="A5" s="2" t="inlineStr">
        <is>
          <t>Vapour Fraction</t>
        </is>
      </c>
      <c r="B5" s="2" t="n">
        <v>0</v>
      </c>
      <c r="C5" s="2" t="n">
        <v>0</v>
      </c>
      <c r="D5" s="2" t="n">
        <v>0</v>
      </c>
    </row>
    <row r="6" ht="15" customHeight="1" s="3">
      <c r="A6" s="2" t="inlineStr">
        <is>
          <t>Temperature (F)</t>
        </is>
      </c>
      <c r="B6" s="2" t="n">
        <v>163.642</v>
      </c>
      <c r="C6" s="2" t="n">
        <v>149.075</v>
      </c>
      <c r="D6" s="2" t="n">
        <v>202.771</v>
      </c>
    </row>
    <row r="7" ht="15" customHeight="1" s="3">
      <c r="A7" s="2" t="inlineStr">
        <is>
          <t>Total Molar Flow (lbmol/h)</t>
        </is>
      </c>
      <c r="B7" s="2" t="n">
        <v>15873.3</v>
      </c>
      <c r="C7" s="2" t="n">
        <v>7936.64</v>
      </c>
      <c r="D7" s="2" t="n">
        <v>7936.64</v>
      </c>
    </row>
    <row r="9" ht="15" customHeight="1" s="3">
      <c r="A9" s="2" t="inlineStr">
        <is>
          <t>Mole flows (lbmol/h)</t>
        </is>
      </c>
    </row>
    <row r="10" ht="15" customHeight="1" s="3">
      <c r="A10" s="2" t="inlineStr">
        <is>
          <t>Water</t>
        </is>
      </c>
      <c r="B10" s="2" t="n">
        <v>7936.64</v>
      </c>
      <c r="C10" s="2" t="n">
        <v>234.91</v>
      </c>
      <c r="D10" s="2" t="n">
        <v>7701.73</v>
      </c>
    </row>
    <row r="11" ht="15" customHeight="1" s="3">
      <c r="A11" s="2" t="inlineStr">
        <is>
          <t>Methanol</t>
        </is>
      </c>
      <c r="B11" s="2" t="n">
        <v>7936.64</v>
      </c>
      <c r="C11" s="2" t="n">
        <v>7701.73</v>
      </c>
      <c r="D11" s="2" t="n">
        <v>234.91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7.42" customWidth="1" style="2" min="1" max="1"/>
  </cols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Water</t>
        </is>
      </c>
    </row>
    <row r="3" ht="15" customHeight="1" s="3">
      <c r="A3" s="2" t="inlineStr">
        <is>
          <t>Methanol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6796875" defaultRowHeight="15" customHeight="0" zeroHeight="0" outlineLevelRow="0"/>
  <cols>
    <col width="16.18" customWidth="1" style="2" min="1" max="1"/>
    <col width="93.12" customWidth="1" style="2" min="2" max="2"/>
  </cols>
  <sheetData>
    <row r="1" ht="15" customHeight="1" s="3">
      <c r="A1" s="2" t="inlineStr">
        <is>
          <t>Field</t>
        </is>
      </c>
      <c r="B1" s="2" t="inlineStr">
        <is>
          <t>Value</t>
        </is>
      </c>
    </row>
    <row r="2" ht="15" customHeight="1" s="3">
      <c r="A2" s="2" t="inlineStr">
        <is>
          <t>ChemSep source</t>
        </is>
      </c>
      <c r="B2" s="2" t="inlineStr">
        <is>
          <t>C:\Users\Thomas Zvolensky\Documents\Python Scripts\Dynamic_DistillationII\water-methanol-ChemSep.xls</t>
        </is>
      </c>
    </row>
    <row r="3" ht="15" customHeight="1" s="3">
      <c r="A3" s="2" t="inlineStr">
        <is>
          <t>Pressure override</t>
        </is>
      </c>
      <c r="B3" s="2" t="inlineStr">
        <is>
          <t>Linear 14.7 to 17.7 psia</t>
        </is>
      </c>
    </row>
    <row r="4" ht="15" customHeight="1" s="3">
      <c r="A4" s="2" t="inlineStr">
        <is>
          <t>Pressure caution</t>
        </is>
      </c>
      <c r="B4" s="2" t="inlineStr">
        <is>
          <t>ChemSep temperatures and compositions were solved at flat pressure.</t>
        </is>
      </c>
    </row>
    <row r="5" ht="15" customHeight="1" s="3">
      <c r="A5" s="2" t="inlineStr">
        <is>
          <t>Holdup caution</t>
        </is>
      </c>
      <c r="B5" s="2" t="inlineStr">
        <is>
          <t>Liquid and vapor holdups were preserved from the template.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128.9081633425471</v>
      </c>
      <c r="C2" t="n">
        <v>1205.385963436669</v>
      </c>
    </row>
    <row r="3">
      <c r="A3" t="inlineStr">
        <is>
          <t>top_V</t>
        </is>
      </c>
      <c r="B3" t="n">
        <v>0.04282988331799126</v>
      </c>
      <c r="C3" t="n">
        <v>1.404218663750219</v>
      </c>
    </row>
    <row r="4">
      <c r="A4" t="inlineStr">
        <is>
          <t>bottom_L</t>
        </is>
      </c>
      <c r="B4" t="n">
        <v>1333.737960611912</v>
      </c>
      <c r="C4" t="n">
        <v>78.21395070394983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1.49072e-06</v>
      </c>
      <c r="C2" t="n">
        <v>0</v>
      </c>
    </row>
    <row r="3">
      <c r="A3" t="n">
        <v>2</v>
      </c>
      <c r="B3" t="n">
        <v>-2053458.045457016</v>
      </c>
      <c r="C3" t="n">
        <v>1.230196701089026e-37</v>
      </c>
    </row>
    <row r="4">
      <c r="A4" t="n">
        <v>3</v>
      </c>
      <c r="B4" t="n">
        <v>-2094607.249877508</v>
      </c>
      <c r="C4" t="n">
        <v>7.791054452020639e-39</v>
      </c>
    </row>
    <row r="5">
      <c r="A5" t="n">
        <v>4</v>
      </c>
      <c r="B5" t="n">
        <v>-2186835.551228018</v>
      </c>
      <c r="C5" t="n">
        <v>4.307360042366059e-40</v>
      </c>
    </row>
    <row r="6">
      <c r="A6" t="n">
        <v>5</v>
      </c>
      <c r="B6" t="n">
        <v>-2291115.243648819</v>
      </c>
      <c r="C6" t="n">
        <v>2.033201299359021e-41</v>
      </c>
    </row>
    <row r="7">
      <c r="A7" t="n">
        <v>6</v>
      </c>
      <c r="B7" t="n">
        <v>-2397796.445770062</v>
      </c>
      <c r="C7" t="n">
        <v>7.551790441179848e-43</v>
      </c>
    </row>
    <row r="8">
      <c r="A8" t="n">
        <v>7</v>
      </c>
      <c r="B8" t="n">
        <v>-2643023.395025169</v>
      </c>
      <c r="C8" t="n">
        <v>8.625605447908241e-45</v>
      </c>
    </row>
    <row r="9">
      <c r="A9" t="n">
        <v>8</v>
      </c>
      <c r="B9" t="n">
        <v>-3920560.855810671</v>
      </c>
      <c r="C9" t="n">
        <v>4.701461774262219e-46</v>
      </c>
    </row>
    <row r="10">
      <c r="A10" t="n">
        <v>9</v>
      </c>
      <c r="B10" t="n">
        <v>-4245821.590968814</v>
      </c>
      <c r="C10" t="n">
        <v>1.208346518739496e-46</v>
      </c>
    </row>
    <row r="11">
      <c r="A11" t="n">
        <v>10</v>
      </c>
      <c r="B11" t="n">
        <v>2.02766e-06</v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149.072</v>
      </c>
    </row>
    <row r="3">
      <c r="A3" t="n">
        <v>2</v>
      </c>
      <c r="B3" t="n">
        <v>15.03333333333333</v>
      </c>
      <c r="C3" t="n">
        <v>150.2240000000393</v>
      </c>
    </row>
    <row r="4">
      <c r="A4" t="n">
        <v>3</v>
      </c>
      <c r="B4" t="n">
        <v>15.39116307295288</v>
      </c>
      <c r="C4" t="n">
        <v>152.078</v>
      </c>
    </row>
    <row r="5">
      <c r="A5" t="n">
        <v>4</v>
      </c>
      <c r="B5" t="n">
        <v>15.7384463323525</v>
      </c>
      <c r="C5" t="n">
        <v>155.138</v>
      </c>
    </row>
    <row r="6">
      <c r="A6" t="n">
        <v>5</v>
      </c>
      <c r="B6" t="n">
        <v>16.06704216180503</v>
      </c>
      <c r="C6" t="n">
        <v>160.052</v>
      </c>
    </row>
    <row r="7">
      <c r="A7" t="n">
        <v>6</v>
      </c>
      <c r="B7" t="n">
        <v>16.35732448631842</v>
      </c>
      <c r="C7" t="n">
        <v>167.558</v>
      </c>
    </row>
    <row r="8">
      <c r="A8" t="n">
        <v>7</v>
      </c>
      <c r="B8" t="n">
        <v>16.61942910970589</v>
      </c>
      <c r="C8" t="n">
        <v>176.9</v>
      </c>
    </row>
    <row r="9">
      <c r="A9" t="n">
        <v>8</v>
      </c>
      <c r="B9" t="n">
        <v>17.14025449224087</v>
      </c>
      <c r="C9" t="n">
        <v>184.37</v>
      </c>
    </row>
    <row r="10">
      <c r="A10" t="n">
        <v>9</v>
      </c>
      <c r="B10" t="n">
        <v>17.70000000000001</v>
      </c>
      <c r="C10" t="n">
        <v>202.766</v>
      </c>
    </row>
    <row r="11">
      <c r="A11" t="n">
        <v>10</v>
      </c>
      <c r="B11" t="n">
        <v>17.70000000000001</v>
      </c>
      <c r="C11" t="n">
        <v>202.766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-0.02540418927430221</v>
      </c>
    </row>
    <row r="3">
      <c r="A3" t="inlineStr">
        <is>
          <t>bottom_level_integ</t>
        </is>
      </c>
      <c r="B3" t="n">
        <v>0.06588659952634261</v>
      </c>
    </row>
    <row r="4">
      <c r="A4" t="inlineStr">
        <is>
          <t>top_pressure_integ</t>
        </is>
      </c>
      <c r="B4" t="n">
        <v>7.496225862269094e-15</v>
      </c>
    </row>
    <row r="5">
      <c r="A5" t="inlineStr">
        <is>
          <t>top_pressure_pv_filt_psia</t>
        </is>
      </c>
      <c r="B5" t="n">
        <v>14.70000000000001</v>
      </c>
    </row>
    <row r="6">
      <c r="A6" t="inlineStr">
        <is>
          <t>top_pressure_mv_cmd_btuph</t>
        </is>
      </c>
      <c r="B6" t="n">
        <v>14.7</v>
      </c>
    </row>
    <row r="7">
      <c r="A7" t="inlineStr">
        <is>
          <t>top_pressure_resid_abs_btups</t>
        </is>
      </c>
      <c r="B7" t="n">
        <v>337.5712334141717</v>
      </c>
    </row>
    <row r="8">
      <c r="A8" t="inlineStr">
        <is>
          <t>top_drum_pressure_T_prev_F</t>
        </is>
      </c>
      <c r="B8" t="n">
        <v>149.072</v>
      </c>
    </row>
    <row r="9">
      <c r="A9" t="inlineStr">
        <is>
          <t>distillate_cmd_lbmolph</t>
        </is>
      </c>
      <c r="B9" t="n">
        <v>7048.450681899116</v>
      </c>
    </row>
    <row r="10">
      <c r="A10" t="inlineStr">
        <is>
          <t>bottoms_cmd_lbmolph</t>
        </is>
      </c>
      <c r="B10" t="n">
        <v>10547.83772713633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2026-07-13T17:31:38Z</dcterms:modified>
  <cp:revision>1</cp:revision>
</cp:coreProperties>
</file>