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C1455AE2-3608-4CF1-9490-79035047049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191029"/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3" i="2"/>
</calcChain>
</file>

<file path=xl/sharedStrings.xml><?xml version="1.0" encoding="utf-8"?>
<sst xmlns="http://schemas.openxmlformats.org/spreadsheetml/2006/main" count="54" uniqueCount="52">
  <si>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</si>
  <si>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</si>
  <si>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</si>
  <si>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</si>
  <si>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</si>
  <si>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</si>
  <si>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</si>
  <si>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</si>
  <si>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</si>
  <si>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</si>
  <si>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</si>
  <si>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</si>
  <si>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</si>
  <si>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</si>
  <si>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</si>
  <si>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</si>
  <si>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</si>
  <si>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</si>
  <si>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</si>
  <si>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</si>
  <si>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</si>
  <si>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</si>
  <si>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</si>
  <si>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</si>
  <si>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</si>
  <si>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</si>
  <si>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</si>
  <si>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</si>
  <si>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</si>
  <si>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 xml:space="preserve">Top 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</si>
  <si>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</si>
  <si>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</si>
  <si>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</si>
  <si>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</si>
  <si>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</si>
  <si>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</si>
  <si>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</si>
  <si>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</si>
  <si>
    <t>Simulation Length (min)</t>
  </si>
  <si>
    <t>Timestep (sec)</t>
  </si>
  <si>
    <t>Log Frequency (timesteps)</t>
  </si>
  <si>
    <t>Component 2</t>
  </si>
  <si>
    <t>Stage time constant [tau] (sec)</t>
  </si>
  <si>
    <t>Start Stage</t>
  </si>
  <si>
    <t>End Stage</t>
  </si>
  <si>
    <t xml:space="preserve">Diameter (ft) </t>
  </si>
  <si>
    <t>Tray Spacing (ft)</t>
  </si>
  <si>
    <t>Gas Void Fraction</t>
  </si>
  <si>
    <t>Stage Geometry</t>
  </si>
  <si>
    <t>Weir Height (in)</t>
  </si>
  <si>
    <t>Weir Length (ft)</t>
  </si>
  <si>
    <t>Active Area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</si>
</sst>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A15" sqref="A15"/>
    </sheetView>
  </sheetViews>
  <sheetFormatPr defaultRowHeight="15" x14ac:dyDescent="0.25"/>
  <cols>
    <col min="1" max="1" width="28.42578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7.28515625" customWidth="1"/>
  </cols>
  <sheetData>
    <row r="1" spans="1:9" x14ac:dyDescent="0.25">
      <c r="A1" s="1" t="s">
        <v>0</v>
      </c>
      <c r="B1" s="1" t="s">
        <v>1</v>
      </c>
    </row>
    <row r="2" spans="1:9" x14ac:dyDescent="0.25">
      <c r="A2" t="s">
        <v>2</v>
      </c>
      <c r="B2">
        <v>20</v>
      </c>
    </row>
    <row r="3" spans="1:9" x14ac:dyDescent="0.25">
      <c r="A3" t="s">
        <v>3</v>
      </c>
      <c r="B3">
        <v>3</v>
      </c>
    </row>
    <row r="4" spans="1:9" x14ac:dyDescent="0.25">
      <c r="A4" t="s">
        <v>4</v>
      </c>
      <c r="B4" t="s">
        <v>5</v>
      </c>
    </row>
    <row r="5" spans="1:9" x14ac:dyDescent="0.25">
      <c r="B5" t="s">
        <v>6</v>
      </c>
      <c r="C5" t="s">
        <v>41</v>
      </c>
      <c r="D5" t="s">
        <v>7</v>
      </c>
    </row>
    <row r="6" spans="1:9" x14ac:dyDescent="0.25">
      <c r="A6" t="s">
        <v>8</v>
      </c>
      <c r="B6" t="s">
        <v>9</v>
      </c>
      <c r="C6" t="s">
        <v>10</v>
      </c>
      <c r="D6" t="s">
        <v>11</v>
      </c>
    </row>
    <row r="7" spans="1:9" x14ac:dyDescent="0.25">
      <c r="A7" t="s">
        <v>12</v>
      </c>
      <c r="B7">
        <v>-48500000</v>
      </c>
    </row>
    <row r="8" spans="1:9" x14ac:dyDescent="0.25">
      <c r="A8" t="s">
        <v>13</v>
      </c>
      <c r="B8">
        <v>79124000</v>
      </c>
    </row>
    <row r="10" spans="1:9" x14ac:dyDescent="0.25">
      <c r="A10" t="s">
        <v>38</v>
      </c>
      <c r="B10">
        <v>10</v>
      </c>
    </row>
    <row r="11" spans="1:9" x14ac:dyDescent="0.25">
      <c r="A11" t="s">
        <v>39</v>
      </c>
      <c r="B11">
        <v>0.1</v>
      </c>
    </row>
    <row r="12" spans="1:9" x14ac:dyDescent="0.25">
      <c r="A12" t="s">
        <v>40</v>
      </c>
      <c r="B12">
        <v>100</v>
      </c>
    </row>
    <row r="13" spans="1:9" x14ac:dyDescent="0.25">
      <c r="A13" t="s">
        <v>42</v>
      </c>
      <c r="B13">
        <v>10</v>
      </c>
    </row>
    <row r="15" spans="1:9" x14ac:dyDescent="0.25">
      <c r="A15" t="s">
        <v>48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49</v>
      </c>
      <c r="H15" t="s">
        <v>50</v>
      </c>
      <c r="I15" t="s">
        <v>51</v>
      </c>
    </row>
    <row r="16" spans="1:9" x14ac:dyDescent="0.25">
      <c r="B16">
        <v>2</v>
      </c>
      <c r="C16">
        <v>15</v>
      </c>
      <c r="D16">
        <v>16.9619</v>
      </c>
      <c r="E16">
        <v>1.5</v>
      </c>
      <c r="F16">
        <v>0.75</v>
      </c>
      <c r="G16">
        <v>2</v>
      </c>
      <c r="H16">
        <v>10</v>
      </c>
      <c r="I16">
        <v>0.75</v>
      </c>
    </row>
    <row r="17" spans="2:9" x14ac:dyDescent="0.25">
      <c r="B17">
        <v>16</v>
      </c>
      <c r="C17">
        <v>20</v>
      </c>
      <c r="D17">
        <v>18.175899999999999</v>
      </c>
      <c r="E17">
        <v>1.5</v>
      </c>
      <c r="F17">
        <v>75</v>
      </c>
      <c r="G17">
        <v>2</v>
      </c>
      <c r="H17">
        <v>9</v>
      </c>
      <c r="I17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workbookViewId="0">
      <selection activeCell="G2" sqref="G2"/>
    </sheetView>
  </sheetViews>
  <sheetFormatPr defaultColWidth="34.28515625" defaultRowHeight="15" x14ac:dyDescent="0.25"/>
  <cols>
    <col min="1" max="1" width="5.8554687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20.42578125" bestFit="1" customWidth="1"/>
    <col min="6" max="6" width="20.5703125" bestFit="1" customWidth="1"/>
    <col min="7" max="7" width="20.42578125" bestFit="1" customWidth="1"/>
    <col min="8" max="10" width="31" bestFit="1" customWidth="1"/>
    <col min="11" max="13" width="31.140625" bestFit="1" customWidth="1"/>
  </cols>
  <sheetData>
    <row r="1" spans="1:13" x14ac:dyDescent="0.25">
      <c r="A1" s="1" t="s">
        <v>14</v>
      </c>
      <c r="B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25">
      <c r="A2">
        <v>1</v>
      </c>
      <c r="B2">
        <v>115.556</v>
      </c>
      <c r="C2">
        <v>219.44</v>
      </c>
      <c r="D2">
        <v>0</v>
      </c>
      <c r="E2">
        <v>5952.48</v>
      </c>
      <c r="F2">
        <v>992</v>
      </c>
      <c r="G2">
        <v>0</v>
      </c>
      <c r="H2">
        <v>0.97869099999999998</v>
      </c>
      <c r="I2">
        <v>2.13086E-2</v>
      </c>
      <c r="J2">
        <v>3.094E-7</v>
      </c>
      <c r="K2">
        <v>0.94906000000000001</v>
      </c>
      <c r="L2">
        <v>5.0938299999999999E-2</v>
      </c>
      <c r="M2">
        <v>1.7689999999999999E-6</v>
      </c>
    </row>
    <row r="3" spans="1:13" x14ac:dyDescent="0.25">
      <c r="A3">
        <v>2</v>
      </c>
      <c r="B3">
        <v>120.27200000000001</v>
      </c>
      <c r="C3">
        <v>220.44</v>
      </c>
      <c r="D3">
        <v>8333.4699999999993</v>
      </c>
      <c r="E3">
        <v>5754.04</v>
      </c>
      <c r="F3">
        <f>3*E3/60</f>
        <v>287.702</v>
      </c>
      <c r="G3">
        <v>9</v>
      </c>
      <c r="H3">
        <v>0.94906000000000001</v>
      </c>
      <c r="I3">
        <v>5.0938299999999999E-2</v>
      </c>
      <c r="J3">
        <v>1.7689999999999999E-6</v>
      </c>
      <c r="K3">
        <v>0.88409199999999999</v>
      </c>
      <c r="L3">
        <v>0.115899</v>
      </c>
      <c r="M3">
        <v>9.5363000000000005E-6</v>
      </c>
    </row>
    <row r="4" spans="1:13" x14ac:dyDescent="0.25">
      <c r="A4">
        <v>3</v>
      </c>
      <c r="B4">
        <v>127.31</v>
      </c>
      <c r="C4">
        <v>221.08500000000001</v>
      </c>
      <c r="D4">
        <v>8135.04</v>
      </c>
      <c r="E4">
        <v>5540.83</v>
      </c>
      <c r="F4">
        <f t="shared" ref="F4:F20" si="0">3*E4/60</f>
        <v>277.04149999999998</v>
      </c>
      <c r="G4">
        <v>9</v>
      </c>
      <c r="H4">
        <v>0.90310699999999999</v>
      </c>
      <c r="I4">
        <v>9.6885700000000005E-2</v>
      </c>
      <c r="J4">
        <v>7.2629999999999997E-6</v>
      </c>
      <c r="K4">
        <v>0.79485499999999998</v>
      </c>
      <c r="L4">
        <v>0.20510900000000001</v>
      </c>
      <c r="M4">
        <v>3.5868000000000003E-5</v>
      </c>
    </row>
    <row r="5" spans="1:13" x14ac:dyDescent="0.25">
      <c r="A5">
        <v>4</v>
      </c>
      <c r="B5">
        <v>135.96799999999999</v>
      </c>
      <c r="C5">
        <v>221.73099999999999</v>
      </c>
      <c r="D5">
        <v>7921.82</v>
      </c>
      <c r="E5">
        <v>5352.15</v>
      </c>
      <c r="F5">
        <f t="shared" si="0"/>
        <v>267.60749999999996</v>
      </c>
      <c r="G5">
        <v>9</v>
      </c>
      <c r="H5">
        <v>0.84120300000000003</v>
      </c>
      <c r="I5">
        <v>0.158771</v>
      </c>
      <c r="J5">
        <v>2.5619E-5</v>
      </c>
      <c r="K5">
        <v>0.69183499999999998</v>
      </c>
      <c r="L5">
        <v>0.30805100000000002</v>
      </c>
      <c r="M5">
        <v>1.1370999999999999E-4</v>
      </c>
    </row>
    <row r="6" spans="1:13" x14ac:dyDescent="0.25">
      <c r="A6">
        <v>5</v>
      </c>
      <c r="B6">
        <v>144.91399999999999</v>
      </c>
      <c r="C6">
        <v>222.37700000000001</v>
      </c>
      <c r="D6">
        <v>7733.14</v>
      </c>
      <c r="E6">
        <v>5219.9799999999996</v>
      </c>
      <c r="F6">
        <f t="shared" si="0"/>
        <v>260.99899999999997</v>
      </c>
      <c r="G6">
        <v>9</v>
      </c>
      <c r="H6">
        <v>0.77103299999999997</v>
      </c>
      <c r="I6">
        <v>0.22888800000000001</v>
      </c>
      <c r="J6">
        <v>7.9249E-5</v>
      </c>
      <c r="K6">
        <v>0.59292800000000001</v>
      </c>
      <c r="L6">
        <v>0.40675600000000001</v>
      </c>
      <c r="M6">
        <v>3.1562000000000002E-4</v>
      </c>
    </row>
    <row r="7" spans="1:13" x14ac:dyDescent="0.25">
      <c r="A7">
        <v>6</v>
      </c>
      <c r="B7">
        <v>152.762</v>
      </c>
      <c r="C7">
        <v>223.02199999999999</v>
      </c>
      <c r="D7">
        <v>7600.98</v>
      </c>
      <c r="E7">
        <v>5143.75</v>
      </c>
      <c r="F7">
        <f t="shared" si="0"/>
        <v>257.1875</v>
      </c>
      <c r="G7">
        <v>9</v>
      </c>
      <c r="H7">
        <v>0.70448599999999995</v>
      </c>
      <c r="I7">
        <v>0.29529699999999998</v>
      </c>
      <c r="J7">
        <v>2.173E-4</v>
      </c>
      <c r="K7">
        <v>0.51219400000000004</v>
      </c>
      <c r="L7">
        <v>0.48701800000000001</v>
      </c>
      <c r="M7">
        <v>7.8854999999999995E-4</v>
      </c>
    </row>
    <row r="8" spans="1:13" x14ac:dyDescent="0.25">
      <c r="A8">
        <v>7</v>
      </c>
      <c r="B8">
        <v>158.828</v>
      </c>
      <c r="C8">
        <v>223.66800000000001</v>
      </c>
      <c r="D8">
        <v>7524.74</v>
      </c>
      <c r="E8">
        <v>5104.21</v>
      </c>
      <c r="F8">
        <f t="shared" si="0"/>
        <v>255.21050000000002</v>
      </c>
      <c r="G8">
        <v>9</v>
      </c>
      <c r="H8">
        <v>0.65042800000000001</v>
      </c>
      <c r="I8">
        <v>0.34903299999999998</v>
      </c>
      <c r="J8">
        <v>5.396E-4</v>
      </c>
      <c r="K8">
        <v>0.45379599999999998</v>
      </c>
      <c r="L8">
        <v>0.54437899999999995</v>
      </c>
      <c r="M8">
        <v>1.8251700000000001E-3</v>
      </c>
    </row>
    <row r="9" spans="1:13" x14ac:dyDescent="0.25">
      <c r="A9">
        <v>8</v>
      </c>
      <c r="B9">
        <v>163.202</v>
      </c>
      <c r="C9">
        <v>224.31299999999999</v>
      </c>
      <c r="D9">
        <v>7485.2</v>
      </c>
      <c r="E9">
        <v>5081.34</v>
      </c>
      <c r="F9">
        <f t="shared" si="0"/>
        <v>254.06700000000001</v>
      </c>
      <c r="G9">
        <v>9</v>
      </c>
      <c r="H9">
        <v>0.61133599999999999</v>
      </c>
      <c r="I9">
        <v>0.38741900000000001</v>
      </c>
      <c r="J9">
        <v>1.2451599999999999E-3</v>
      </c>
      <c r="K9">
        <v>0.41470600000000002</v>
      </c>
      <c r="L9">
        <v>0.58128400000000002</v>
      </c>
      <c r="M9">
        <v>4.0092799999999996E-3</v>
      </c>
    </row>
    <row r="10" spans="1:13" x14ac:dyDescent="0.25">
      <c r="A10">
        <v>9</v>
      </c>
      <c r="B10">
        <v>166.316</v>
      </c>
      <c r="C10">
        <v>224.959</v>
      </c>
      <c r="D10">
        <v>7462.34</v>
      </c>
      <c r="E10">
        <v>5059.7700000000004</v>
      </c>
      <c r="F10">
        <f t="shared" si="0"/>
        <v>252.98850000000002</v>
      </c>
      <c r="G10">
        <v>9</v>
      </c>
      <c r="H10">
        <v>0.585202</v>
      </c>
      <c r="I10">
        <v>0.41206799999999999</v>
      </c>
      <c r="J10">
        <v>2.7306100000000001E-3</v>
      </c>
      <c r="K10">
        <v>0.38949499999999998</v>
      </c>
      <c r="L10">
        <v>0.60200799999999999</v>
      </c>
      <c r="M10">
        <v>8.4970299999999992E-3</v>
      </c>
    </row>
    <row r="11" spans="1:13" x14ac:dyDescent="0.25">
      <c r="A11">
        <v>10</v>
      </c>
      <c r="B11">
        <v>168.76400000000001</v>
      </c>
      <c r="C11">
        <v>225.60499999999999</v>
      </c>
      <c r="D11">
        <v>7440.76</v>
      </c>
      <c r="E11">
        <v>5025.91</v>
      </c>
      <c r="F11">
        <f t="shared" si="0"/>
        <v>251.2955</v>
      </c>
      <c r="G11">
        <v>8</v>
      </c>
      <c r="H11">
        <v>0.56855199999999995</v>
      </c>
      <c r="I11">
        <v>0.42566999999999999</v>
      </c>
      <c r="J11">
        <v>5.77861E-3</v>
      </c>
      <c r="K11">
        <v>0.37301299999999998</v>
      </c>
      <c r="L11">
        <v>0.60946500000000003</v>
      </c>
      <c r="M11">
        <v>1.7522200000000002E-2</v>
      </c>
    </row>
    <row r="12" spans="1:13" x14ac:dyDescent="0.25">
      <c r="A12">
        <v>11</v>
      </c>
      <c r="B12">
        <v>171.17599999999999</v>
      </c>
      <c r="C12">
        <v>226.25</v>
      </c>
      <c r="D12">
        <v>7406.9</v>
      </c>
      <c r="E12">
        <v>4964.1099999999997</v>
      </c>
      <c r="F12">
        <f t="shared" si="0"/>
        <v>248.20549999999997</v>
      </c>
      <c r="G12">
        <v>8</v>
      </c>
      <c r="H12">
        <v>0.55818699999999999</v>
      </c>
      <c r="I12">
        <v>0.429923</v>
      </c>
      <c r="J12">
        <v>1.1890100000000001E-2</v>
      </c>
      <c r="K12">
        <v>0.36106100000000002</v>
      </c>
      <c r="L12">
        <v>0.60375800000000002</v>
      </c>
      <c r="M12">
        <v>3.5180900000000001E-2</v>
      </c>
    </row>
    <row r="13" spans="1:13" x14ac:dyDescent="0.25">
      <c r="A13">
        <v>12</v>
      </c>
      <c r="B13">
        <v>174.25399999999999</v>
      </c>
      <c r="C13">
        <v>226.89599999999999</v>
      </c>
      <c r="D13">
        <v>7345.1</v>
      </c>
      <c r="E13">
        <v>15885.1</v>
      </c>
      <c r="F13">
        <f t="shared" si="0"/>
        <v>794.255</v>
      </c>
      <c r="G13">
        <v>6</v>
      </c>
      <c r="H13">
        <v>0.55166700000000002</v>
      </c>
      <c r="I13">
        <v>0.42455599999999999</v>
      </c>
      <c r="J13">
        <v>2.3777199999999998E-2</v>
      </c>
      <c r="K13">
        <v>0.350163</v>
      </c>
      <c r="L13">
        <v>0.58161300000000005</v>
      </c>
      <c r="M13">
        <v>6.8223699999999998E-2</v>
      </c>
    </row>
    <row r="14" spans="1:13" x14ac:dyDescent="0.25">
      <c r="A14">
        <v>13</v>
      </c>
      <c r="B14">
        <v>180.428</v>
      </c>
      <c r="C14">
        <v>227.541</v>
      </c>
      <c r="D14">
        <v>11123.1</v>
      </c>
      <c r="E14">
        <v>15921.4</v>
      </c>
      <c r="F14">
        <f t="shared" si="0"/>
        <v>796.06999999999994</v>
      </c>
      <c r="G14">
        <v>10</v>
      </c>
      <c r="H14">
        <v>0.48916999999999999</v>
      </c>
      <c r="I14">
        <v>0.48475099999999999</v>
      </c>
      <c r="J14">
        <v>2.60792E-2</v>
      </c>
      <c r="K14">
        <v>0.29932399999999998</v>
      </c>
      <c r="L14">
        <v>0.63065099999999996</v>
      </c>
      <c r="M14">
        <v>7.0025000000000004E-2</v>
      </c>
    </row>
    <row r="15" spans="1:13" x14ac:dyDescent="0.25">
      <c r="A15">
        <v>14</v>
      </c>
      <c r="B15">
        <v>187.25</v>
      </c>
      <c r="C15">
        <v>228.18700000000001</v>
      </c>
      <c r="D15">
        <v>11159.4</v>
      </c>
      <c r="E15">
        <v>16001.7</v>
      </c>
      <c r="F15">
        <f t="shared" si="0"/>
        <v>800.08500000000015</v>
      </c>
      <c r="G15">
        <v>10</v>
      </c>
      <c r="H15">
        <v>0.416184</v>
      </c>
      <c r="I15">
        <v>0.55503000000000002</v>
      </c>
      <c r="J15">
        <v>2.8786099999999998E-2</v>
      </c>
      <c r="K15">
        <v>0.244946</v>
      </c>
      <c r="L15">
        <v>0.68310899999999997</v>
      </c>
      <c r="M15">
        <v>7.1945499999999996E-2</v>
      </c>
    </row>
    <row r="16" spans="1:13" x14ac:dyDescent="0.25">
      <c r="A16">
        <v>15</v>
      </c>
      <c r="B16">
        <v>194.21600000000001</v>
      </c>
      <c r="C16">
        <v>228.83199999999999</v>
      </c>
      <c r="D16">
        <v>11239.7</v>
      </c>
      <c r="E16">
        <v>16123.7</v>
      </c>
      <c r="F16">
        <f t="shared" si="0"/>
        <v>806.18500000000006</v>
      </c>
      <c r="G16">
        <v>10</v>
      </c>
      <c r="H16">
        <v>0.33793200000000001</v>
      </c>
      <c r="I16">
        <v>0.63025299999999995</v>
      </c>
      <c r="J16">
        <v>3.18149E-2</v>
      </c>
      <c r="K16">
        <v>0.191524</v>
      </c>
      <c r="L16">
        <v>0.73442499999999999</v>
      </c>
      <c r="M16">
        <v>7.4051599999999995E-2</v>
      </c>
    </row>
    <row r="17" spans="1:13" x14ac:dyDescent="0.25">
      <c r="A17">
        <v>16</v>
      </c>
      <c r="B17">
        <v>200.804</v>
      </c>
      <c r="C17">
        <v>229.47800000000001</v>
      </c>
      <c r="D17">
        <v>11361.7</v>
      </c>
      <c r="E17">
        <v>16269.9</v>
      </c>
      <c r="F17">
        <f t="shared" si="0"/>
        <v>813.495</v>
      </c>
      <c r="G17">
        <v>10</v>
      </c>
      <c r="H17">
        <v>0.26112099999999999</v>
      </c>
      <c r="I17">
        <v>0.70364400000000005</v>
      </c>
      <c r="J17">
        <v>3.5234500000000002E-2</v>
      </c>
      <c r="K17">
        <v>0.14307500000000001</v>
      </c>
      <c r="L17">
        <v>0.78010800000000002</v>
      </c>
      <c r="M17">
        <v>7.6816700000000002E-2</v>
      </c>
    </row>
    <row r="18" spans="1:13" x14ac:dyDescent="0.25">
      <c r="A18">
        <v>17</v>
      </c>
      <c r="B18">
        <v>206.726</v>
      </c>
      <c r="C18">
        <v>230.124</v>
      </c>
      <c r="D18">
        <v>11507.9</v>
      </c>
      <c r="E18">
        <v>16410.8</v>
      </c>
      <c r="F18">
        <f t="shared" si="0"/>
        <v>820.53999999999985</v>
      </c>
      <c r="G18">
        <v>9.5</v>
      </c>
      <c r="H18">
        <v>0.19173999999999999</v>
      </c>
      <c r="I18">
        <v>0.76862299999999995</v>
      </c>
      <c r="J18">
        <v>3.9636999999999999E-2</v>
      </c>
      <c r="K18">
        <v>0.102089</v>
      </c>
      <c r="L18">
        <v>0.81628000000000001</v>
      </c>
      <c r="M18">
        <v>8.1630499999999995E-2</v>
      </c>
    </row>
    <row r="19" spans="1:13" x14ac:dyDescent="0.25">
      <c r="A19">
        <v>18</v>
      </c>
      <c r="B19">
        <v>212.036</v>
      </c>
      <c r="C19">
        <v>230.76900000000001</v>
      </c>
      <c r="D19">
        <v>11648.8</v>
      </c>
      <c r="E19">
        <v>16506.900000000001</v>
      </c>
      <c r="F19">
        <f t="shared" si="0"/>
        <v>825.34500000000003</v>
      </c>
      <c r="G19">
        <v>9.5</v>
      </c>
      <c r="H19">
        <v>0.133411</v>
      </c>
      <c r="I19">
        <v>0.81972100000000003</v>
      </c>
      <c r="J19">
        <v>4.6868399999999998E-2</v>
      </c>
      <c r="K19">
        <v>6.93082E-2</v>
      </c>
      <c r="L19">
        <v>0.83881700000000003</v>
      </c>
      <c r="M19">
        <v>9.1874499999999998E-2</v>
      </c>
    </row>
    <row r="20" spans="1:13" x14ac:dyDescent="0.25">
      <c r="A20">
        <v>19</v>
      </c>
      <c r="B20">
        <v>217.292</v>
      </c>
      <c r="C20">
        <v>231.41499999999999</v>
      </c>
      <c r="D20">
        <v>11745</v>
      </c>
      <c r="E20">
        <v>16505.5</v>
      </c>
      <c r="F20">
        <f t="shared" si="0"/>
        <v>825.27499999999998</v>
      </c>
      <c r="G20">
        <v>9</v>
      </c>
      <c r="H20">
        <v>8.7082300000000001E-2</v>
      </c>
      <c r="I20">
        <v>0.85136699999999998</v>
      </c>
      <c r="J20">
        <v>6.1550399999999998E-2</v>
      </c>
      <c r="K20">
        <v>4.4168699999999998E-2</v>
      </c>
      <c r="L20">
        <v>0.84071600000000002</v>
      </c>
      <c r="M20">
        <v>0.115116</v>
      </c>
    </row>
    <row r="21" spans="1:13" x14ac:dyDescent="0.25">
      <c r="A21">
        <v>20</v>
      </c>
      <c r="B21">
        <v>223.77199999999999</v>
      </c>
      <c r="C21">
        <v>232.06</v>
      </c>
      <c r="D21">
        <v>11743.5</v>
      </c>
      <c r="E21">
        <v>0</v>
      </c>
      <c r="F21">
        <v>694</v>
      </c>
      <c r="G21">
        <v>10</v>
      </c>
      <c r="H21">
        <v>5.1750900000000002E-2</v>
      </c>
      <c r="I21">
        <v>0.85403700000000005</v>
      </c>
      <c r="J21">
        <v>9.4212000000000004E-2</v>
      </c>
      <c r="K21">
        <v>2.547E-2</v>
      </c>
      <c r="L21">
        <v>0.80786400000000003</v>
      </c>
      <c r="M21">
        <v>0.16666600000000001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D7" sqref="D7"/>
    </sheetView>
  </sheetViews>
  <sheetFormatPr defaultColWidth="9.28515625" defaultRowHeight="15" x14ac:dyDescent="0.25"/>
  <cols>
    <col min="1" max="1" width="30" bestFit="1" customWidth="1"/>
    <col min="2" max="4" width="10" bestFit="1" customWidth="1"/>
  </cols>
  <sheetData>
    <row r="1" spans="1:4" x14ac:dyDescent="0.25">
      <c r="A1" s="2" t="s">
        <v>27</v>
      </c>
      <c r="B1" s="2" t="s">
        <v>28</v>
      </c>
      <c r="C1" s="2" t="s">
        <v>29</v>
      </c>
      <c r="D1" s="2" t="s">
        <v>30</v>
      </c>
    </row>
    <row r="3" spans="1:4" x14ac:dyDescent="0.25">
      <c r="A3" s="2" t="s">
        <v>31</v>
      </c>
      <c r="B3">
        <v>12</v>
      </c>
      <c r="C3">
        <v>1</v>
      </c>
      <c r="D3">
        <v>20</v>
      </c>
    </row>
    <row r="4" spans="1:4" x14ac:dyDescent="0.25">
      <c r="A4" s="2" t="s">
        <v>32</v>
      </c>
      <c r="B4">
        <v>232.06</v>
      </c>
      <c r="C4">
        <v>220.44</v>
      </c>
      <c r="D4">
        <v>232.06</v>
      </c>
    </row>
    <row r="5" spans="1:4" x14ac:dyDescent="0.25">
      <c r="A5" s="2" t="s">
        <v>33</v>
      </c>
      <c r="B5">
        <v>0</v>
      </c>
      <c r="C5">
        <v>0</v>
      </c>
      <c r="D5">
        <v>0</v>
      </c>
    </row>
    <row r="6" spans="1:4" x14ac:dyDescent="0.25">
      <c r="A6" s="2" t="s">
        <v>34</v>
      </c>
      <c r="B6">
        <v>77</v>
      </c>
      <c r="C6">
        <v>115.56399999999999</v>
      </c>
      <c r="D6">
        <v>223.78</v>
      </c>
    </row>
    <row r="7" spans="1:4" x14ac:dyDescent="0.25">
      <c r="A7" s="2" t="s">
        <v>35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36</v>
      </c>
    </row>
    <row r="10" spans="1:4" x14ac:dyDescent="0.25">
      <c r="A10" s="2" t="s">
        <v>9</v>
      </c>
      <c r="B10">
        <v>2380.9899999999998</v>
      </c>
      <c r="C10">
        <v>2259.6999999999998</v>
      </c>
      <c r="D10">
        <v>121.288</v>
      </c>
    </row>
    <row r="11" spans="1:4" x14ac:dyDescent="0.25">
      <c r="A11" s="2" t="s">
        <v>10</v>
      </c>
      <c r="B11">
        <v>3968.32</v>
      </c>
      <c r="C11">
        <v>121.28400000000001</v>
      </c>
      <c r="D11">
        <v>3847.04</v>
      </c>
    </row>
    <row r="12" spans="1:4" x14ac:dyDescent="0.25">
      <c r="A12" s="2" t="s">
        <v>37</v>
      </c>
      <c r="B12">
        <v>793.66399999999999</v>
      </c>
      <c r="C12">
        <v>4.2120999999999999E-3</v>
      </c>
      <c r="D12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2026-01-13T14:44:58Z</dcterms:modified>
</cp:coreProperties>
</file>