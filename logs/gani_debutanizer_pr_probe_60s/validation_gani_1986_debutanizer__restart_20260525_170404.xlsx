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B37" activeCellId="0" sqref="1:1048576"/>
    </sheetView>
  </sheetViews>
  <sheetFormatPr baseColWidth="8" defaultColWidth="11.53515625" defaultRowHeight="15" customHeight="0" zeroHeight="0" outlineLevelRow="0"/>
  <cols>
    <col width="35.66" customWidth="1" style="2" min="1" max="1"/>
    <col width="56.11" customWidth="1" style="2" min="2" max="2"/>
    <col width="15.49" customWidth="1" style="2" min="3" max="3"/>
    <col width="15.06" customWidth="1" style="2" min="4" max="4"/>
    <col width="16.18" customWidth="1" style="2" min="5" max="5"/>
    <col width="11.31" customWidth="1" style="2" min="6" max="6"/>
    <col width="18.82" customWidth="1" style="2" min="7" max="7"/>
    <col width="19.93" customWidth="1" style="2" min="8" max="8"/>
  </cols>
  <sheetData>
    <row r="1" ht="15" customHeight="1" s="3">
      <c r="A1" s="2" t="inlineStr">
        <is>
          <t>Parameter</t>
        </is>
      </c>
      <c r="B1" s="2" t="inlineStr">
        <is>
          <t>Value</t>
        </is>
      </c>
    </row>
    <row r="2" ht="15" customHeight="1" s="3">
      <c r="A2" s="2" t="inlineStr">
        <is>
          <t>Number of Stages</t>
        </is>
      </c>
      <c r="B2" s="2" t="n">
        <v>28</v>
      </c>
    </row>
    <row r="3" ht="15" customHeight="1" s="3">
      <c r="A3" s="2" t="inlineStr">
        <is>
          <t>Number of Components</t>
        </is>
      </c>
      <c r="B3" s="2" t="n">
        <v>6</v>
      </c>
    </row>
    <row r="4" ht="15" customHeight="1" s="3">
      <c r="A4" s="2" t="inlineStr">
        <is>
          <t>Condenser Type</t>
        </is>
      </c>
      <c r="B4" s="2" t="inlineStr">
        <is>
          <t>Total</t>
        </is>
      </c>
    </row>
    <row r="5" ht="15" customHeight="1" s="3">
      <c r="A5" s="2" t="inlineStr">
        <is>
          <t>Component Name</t>
        </is>
      </c>
      <c r="B5" s="2" t="inlineStr">
        <is>
          <t>1,3-butadiene</t>
        </is>
      </c>
      <c r="C5" s="2" t="inlineStr">
        <is>
          <t>Isobutene</t>
        </is>
      </c>
      <c r="D5" s="2" t="inlineStr">
        <is>
          <t>N-pentane</t>
        </is>
      </c>
      <c r="E5" s="2" t="inlineStr">
        <is>
          <t>1-pentene</t>
        </is>
      </c>
      <c r="F5" s="2" t="inlineStr">
        <is>
          <t>1-hexene</t>
        </is>
      </c>
      <c r="G5" s="2" t="inlineStr">
        <is>
          <t>Benzene</t>
        </is>
      </c>
    </row>
    <row r="6" ht="15" customHeight="1" s="3">
      <c r="A6" s="2" t="inlineStr">
        <is>
          <t>Thermo Mode</t>
        </is>
      </c>
      <c r="B6" s="2" t="inlineStr">
        <is>
          <t>clapeyron</t>
        </is>
      </c>
    </row>
    <row r="7" ht="15" customHeight="1" s="3">
      <c r="A7" s="2" t="inlineStr">
        <is>
          <t>Runtime Mode</t>
        </is>
      </c>
      <c r="B7" s="2" t="inlineStr">
        <is>
          <t>hydraulic</t>
        </is>
      </c>
    </row>
    <row r="8" ht="15" customHeight="1" s="3">
      <c r="A8" s="2" t="inlineStr">
        <is>
          <t>Include Energy</t>
        </is>
      </c>
      <c r="B8" s="2">
        <f>TRUE()</f>
        <v/>
      </c>
    </row>
    <row r="9" ht="15" customHeight="1" s="3">
      <c r="A9" s="2" t="inlineStr">
        <is>
          <t>Condenser Duty Mode</t>
        </is>
      </c>
      <c r="B9" s="2" t="inlineStr">
        <is>
          <t>specified</t>
        </is>
      </c>
    </row>
    <row r="10" ht="15" customHeight="1" s="3">
      <c r="A10" s="2" t="inlineStr">
        <is>
          <t>Reboiler Duty (Btu/h)</t>
        </is>
      </c>
      <c r="B10" s="2" t="n">
        <v>10952565184.44</v>
      </c>
    </row>
    <row r="11" ht="15" customHeight="1" s="3">
      <c r="A11" s="2" t="inlineStr">
        <is>
          <t>Simulation Length (min)</t>
        </is>
      </c>
      <c r="B11" s="2" t="n">
        <v>90</v>
      </c>
    </row>
    <row r="12" ht="15" customHeight="1" s="3">
      <c r="A12" s="2" t="inlineStr">
        <is>
          <t>Timestep (sec)</t>
        </is>
      </c>
      <c r="B12" s="2" t="n">
        <v>1</v>
      </c>
    </row>
    <row r="13" ht="15" customHeight="1" s="3">
      <c r="A13" s="2" t="inlineStr">
        <is>
          <t>Log Frequency (timesteps)</t>
        </is>
      </c>
      <c r="B13" s="2" t="n">
        <v>60</v>
      </c>
    </row>
    <row r="14" ht="15" customHeight="1" s="3">
      <c r="A14" s="2" t="inlineStr">
        <is>
          <t>Top Accumulator Holdup (lbmol)</t>
        </is>
      </c>
      <c r="B14" s="2" t="n">
        <v>87.0311523685652</v>
      </c>
    </row>
    <row r="15" ht="15" customHeight="1" s="3">
      <c r="A15" s="2" t="inlineStr">
        <is>
          <t>Bottom Holdup (lbmol)</t>
        </is>
      </c>
      <c r="B15" s="2" t="n">
        <v>97.8044082473388</v>
      </c>
    </row>
    <row r="16" ht="15" customHeight="1" s="3">
      <c r="A16" s="2" t="inlineStr">
        <is>
          <t>Top Drum Total Volume (ft3)</t>
        </is>
      </c>
      <c r="B16" s="2" t="n">
        <v>270.447477791116</v>
      </c>
    </row>
    <row r="17" ht="15" customHeight="1" s="3">
      <c r="A17" s="2" t="inlineStr">
        <is>
          <t>Top Drum Diameter (ft)</t>
        </is>
      </c>
      <c r="B17" s="2" t="n">
        <v>4.8598619539328</v>
      </c>
    </row>
    <row r="18" ht="15" customHeight="1" s="3">
      <c r="A18" s="2" t="inlineStr">
        <is>
          <t>Top Drum Length (ft)</t>
        </is>
      </c>
      <c r="B18" s="2" t="n">
        <v>14.5795858617984</v>
      </c>
    </row>
    <row r="19" ht="15" customHeight="1" s="3">
      <c r="A19" s="2" t="inlineStr">
        <is>
          <t>Top Drum Liquid Fraction (-)</t>
        </is>
      </c>
      <c r="B19" s="2" t="n">
        <v>0.5</v>
      </c>
    </row>
    <row r="20" ht="15" customHeight="1" s="3">
      <c r="A20" s="2" t="inlineStr">
        <is>
          <t>Overhead Vapor Line Volume (ft3)</t>
        </is>
      </c>
      <c r="B20" s="2" t="n">
        <v>0</v>
      </c>
    </row>
    <row r="21" ht="15" customHeight="1" s="3">
      <c r="A21" s="2" t="inlineStr">
        <is>
          <t>Condenser Vapor Volume (ft3)</t>
        </is>
      </c>
      <c r="B21" s="2" t="n">
        <v>0</v>
      </c>
    </row>
    <row r="22" ht="15" customHeight="1" s="3">
      <c r="A22" s="2" t="inlineStr">
        <is>
          <t>Bottom Sump Total Volume (ft3)</t>
        </is>
      </c>
      <c r="B22" s="2" t="n">
        <v>376.138941443497</v>
      </c>
    </row>
    <row r="23" ht="15" customHeight="1" s="3">
      <c r="A23" s="2" t="inlineStr">
        <is>
          <t>Bottom Sump Diameter (ft)</t>
        </is>
      </c>
      <c r="B23" s="2" t="n">
        <v>6.20977894267789</v>
      </c>
    </row>
    <row r="24" ht="15" customHeight="1" s="3">
      <c r="A24" s="2" t="inlineStr">
        <is>
          <t>Bottom Sump Height (ft)</t>
        </is>
      </c>
      <c r="B24" s="2" t="n">
        <v>12.4195578853558</v>
      </c>
    </row>
    <row r="25" ht="15" customHeight="1" s="3">
      <c r="A25" s="2" t="inlineStr">
        <is>
          <t>Bottom Sump Liquid Fraction (-)</t>
        </is>
      </c>
      <c r="B25" s="2" t="n">
        <v>0.5</v>
      </c>
    </row>
    <row r="26" ht="15" customHeight="1" s="3">
      <c r="A26" s="2" t="inlineStr">
        <is>
          <t>Pressure Model</t>
        </is>
      </c>
      <c r="B26" s="2" t="inlineStr">
        <is>
          <t>hydraulic</t>
        </is>
      </c>
    </row>
    <row r="27" ht="15" customHeight="1" s="3">
      <c r="A27" s="2" t="inlineStr">
        <is>
          <t>Vapor Flow Model</t>
        </is>
      </c>
      <c r="B27" s="2" t="inlineStr">
        <is>
          <t>energy</t>
        </is>
      </c>
    </row>
    <row r="28" ht="15" customHeight="1" s="3">
      <c r="A28" s="2" t="inlineStr">
        <is>
          <t>Stage time constant [tau] (sec)</t>
        </is>
      </c>
      <c r="B28" s="2" t="n">
        <v>10</v>
      </c>
    </row>
    <row r="29" ht="15" customHeight="1" s="3">
      <c r="A29" s="2" t="inlineStr">
        <is>
          <t>Condenser Pressure Drop (psi)</t>
        </is>
      </c>
      <c r="B29" s="2" t="n">
        <v>0</v>
      </c>
    </row>
    <row r="30" ht="15" customHeight="1" s="3">
      <c r="A30" s="2" t="inlineStr">
        <is>
          <t>Equilibrium Relaxation Mode</t>
        </is>
      </c>
      <c r="B30" s="2" t="inlineStr">
        <is>
          <t>composition-only</t>
        </is>
      </c>
    </row>
    <row r="31" ht="15" customHeight="1" s="3">
      <c r="A31" s="2" t="inlineStr">
        <is>
          <t>Equilibrium Tau (sec)</t>
        </is>
      </c>
      <c r="B31" s="2" t="n">
        <v>5</v>
      </c>
    </row>
    <row r="32" ht="15" customHeight="1" s="3">
      <c r="A32" s="2" t="inlineStr">
        <is>
          <t>Equilibrium Energy Damping Gain</t>
        </is>
      </c>
      <c r="B32" s="2" t="n">
        <v>0</v>
      </c>
    </row>
    <row r="33" ht="15" customHeight="1" s="3">
      <c r="A33" s="2" t="inlineStr">
        <is>
          <t>Equilibrium Relaxation Live PR</t>
        </is>
      </c>
      <c r="B33" s="2">
        <f>FALSE()</f>
        <v/>
      </c>
    </row>
    <row r="34" ht="15" customHeight="1" s="3">
      <c r="A34" s="2" t="inlineStr">
        <is>
          <t>Vapor Holdup Relaxation (sec)</t>
        </is>
      </c>
      <c r="B34" s="2" t="n">
        <v>0</v>
      </c>
    </row>
    <row r="35" ht="15" customHeight="1" s="3">
      <c r="A35" s="2" t="inlineStr">
        <is>
          <t>Vapor Flow Relaxation (sec)</t>
        </is>
      </c>
      <c r="B35" s="2" t="n">
        <v>5</v>
      </c>
    </row>
    <row r="36" ht="15" customHeight="1" s="3">
      <c r="A36" s="2" t="inlineStr">
        <is>
          <t>Feed Source</t>
        </is>
      </c>
      <c r="B36" s="2" t="inlineStr">
        <is>
          <t>Gani, Ruiz, and Cameron 1986, Problem II industrial debutanizer</t>
        </is>
      </c>
    </row>
    <row r="37" ht="15" customHeight="1" s="3">
      <c r="A37" s="2" t="inlineStr">
        <is>
          <t>Source Disturbance</t>
        </is>
      </c>
      <c r="B37" s="2" t="inlineStr">
        <is>
          <t>+5% reflux rate at constant reboiler duty after steady-state search</t>
        </is>
      </c>
    </row>
    <row r="38" ht="15" customHeight="1" s="3">
      <c r="A38" s="2" t="inlineStr">
        <is>
          <t>Residence Time for Derived Vessels (min)</t>
        </is>
      </c>
      <c r="B38" s="2" t="n">
        <v>10</v>
      </c>
    </row>
    <row r="39" ht="15" customHeight="1" s="3">
      <c r="A39" s="2" t="inlineStr">
        <is>
          <t>Derived Vessel Normal Liquid Fraction (-)</t>
        </is>
      </c>
      <c r="B39" s="2" t="n">
        <v>0.5</v>
      </c>
    </row>
    <row r="41" ht="15" customHeight="1" s="3">
      <c r="A41" s="2" t="inlineStr">
        <is>
          <t>Start Stage</t>
        </is>
      </c>
      <c r="B41" s="2" t="inlineStr">
        <is>
          <t>End Stage</t>
        </is>
      </c>
      <c r="C41" s="2" t="inlineStr">
        <is>
          <t>Diameter (ft)</t>
        </is>
      </c>
      <c r="D41" s="2" t="inlineStr">
        <is>
          <t>Tray Spacing (ft)</t>
        </is>
      </c>
      <c r="E41" s="2" t="inlineStr">
        <is>
          <t>Gas Void Fraction</t>
        </is>
      </c>
      <c r="F41" s="2" t="inlineStr">
        <is>
          <t>Weir Height</t>
        </is>
      </c>
      <c r="G41" s="2" t="inlineStr">
        <is>
          <t>Weir Length</t>
        </is>
      </c>
      <c r="H41" s="2" t="inlineStr">
        <is>
          <t>Active Area</t>
        </is>
      </c>
    </row>
    <row r="42" ht="15" customHeight="1" s="3">
      <c r="A42" s="2" t="n">
        <v>1</v>
      </c>
      <c r="B42" s="2" t="n">
        <v>28</v>
      </c>
      <c r="C42" s="2" t="n">
        <v>5.49868766402</v>
      </c>
      <c r="D42" s="2" t="n">
        <v>1.6404199475</v>
      </c>
      <c r="E42" s="2" t="n">
        <v>0.8</v>
      </c>
      <c r="F42" s="2" t="n">
        <v>1.968</v>
      </c>
      <c r="G42" s="2" t="n">
        <v>3.38416666666667</v>
      </c>
      <c r="H42" s="2" t="n">
        <v>0.886850432655011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Stage</t>
        </is>
      </c>
      <c r="B1" s="2" t="inlineStr">
        <is>
          <t>Temperature (F)</t>
        </is>
      </c>
      <c r="C1" s="2" t="inlineStr">
        <is>
          <t>Pressure (psia)</t>
        </is>
      </c>
      <c r="D1" s="2" t="inlineStr">
        <is>
          <t>Vapor Flow (lbmol/h)</t>
        </is>
      </c>
      <c r="E1" s="2" t="inlineStr">
        <is>
          <t>Liquid Flow (lbmol/h)</t>
        </is>
      </c>
      <c r="F1" s="2" t="inlineStr">
        <is>
          <t>Liquid Holdup (lbmol)</t>
        </is>
      </c>
      <c r="G1" s="2" t="inlineStr">
        <is>
          <t>Vapor Holdup (lbmol)</t>
        </is>
      </c>
      <c r="H1" s="2" t="inlineStr">
        <is>
          <t>Vapor Composition Component 1</t>
        </is>
      </c>
      <c r="I1" s="2" t="inlineStr">
        <is>
          <t>Vapor Composition Component 2</t>
        </is>
      </c>
      <c r="J1" s="2" t="inlineStr">
        <is>
          <t>Vapor Composition Component 3</t>
        </is>
      </c>
      <c r="K1" s="2" t="inlineStr">
        <is>
          <t>Vapor Composition Component 4</t>
        </is>
      </c>
      <c r="L1" s="2" t="inlineStr">
        <is>
          <t>Vapor Composition Component 5</t>
        </is>
      </c>
      <c r="M1" s="2" t="inlineStr">
        <is>
          <t>Vapor Composition Component 6</t>
        </is>
      </c>
      <c r="N1" s="2" t="inlineStr">
        <is>
          <t>Liquid Composition Component 1</t>
        </is>
      </c>
      <c r="O1" s="2" t="inlineStr">
        <is>
          <t>Liquid Composition Component 2</t>
        </is>
      </c>
      <c r="P1" s="2" t="inlineStr">
        <is>
          <t>Liquid Composition Component 3</t>
        </is>
      </c>
      <c r="Q1" s="2" t="inlineStr">
        <is>
          <t>Liquid Composition Component 4</t>
        </is>
      </c>
      <c r="R1" s="2" t="inlineStr">
        <is>
          <t>Liquid Composition Component 5</t>
        </is>
      </c>
      <c r="S1" s="2" t="inlineStr">
        <is>
          <t>Liquid Composition Component 6</t>
        </is>
      </c>
    </row>
    <row r="2" ht="15" customHeight="1" s="3">
      <c r="A2" s="2" t="n">
        <v>1</v>
      </c>
      <c r="B2" s="2" t="n">
        <v>116.51</v>
      </c>
      <c r="C2" s="2" t="n">
        <v>80.292678384176</v>
      </c>
      <c r="D2" s="2" t="n">
        <v>0</v>
      </c>
      <c r="E2" s="2" t="n">
        <v>947.54680287113</v>
      </c>
      <c r="F2" s="2" t="n">
        <v>5</v>
      </c>
      <c r="G2" s="2" t="n">
        <v>0</v>
      </c>
      <c r="H2" s="2" t="n">
        <v>0.4183094886771285</v>
      </c>
      <c r="I2" s="2" t="n">
        <v>0.5386704010682458</v>
      </c>
      <c r="J2" s="2" t="n">
        <v>0.008459334307958692</v>
      </c>
      <c r="K2" s="2" t="n">
        <v>0.01382397452390418</v>
      </c>
      <c r="L2" s="2" t="n">
        <v>0.008034917163410274</v>
      </c>
      <c r="M2" s="2" t="n">
        <v>0.01270188425935261</v>
      </c>
      <c r="N2" s="2" t="n">
        <v>0.338622747390226</v>
      </c>
      <c r="O2" s="2" t="n">
        <v>0.4747368053879783</v>
      </c>
      <c r="P2" s="2" t="n">
        <v>0.04507676088786357</v>
      </c>
      <c r="Q2" s="2" t="n">
        <v>0.07018789506861035</v>
      </c>
      <c r="R2" s="2" t="n">
        <v>0.03094734037983682</v>
      </c>
      <c r="S2" s="2" t="n">
        <v>0.04042845088548515</v>
      </c>
    </row>
    <row r="3" ht="15" customHeight="1" s="3">
      <c r="A3" s="2" t="n">
        <v>2</v>
      </c>
      <c r="B3" s="2" t="n">
        <v>109.8390410968917</v>
      </c>
      <c r="C3" s="2" t="n">
        <v>80.29351926719492</v>
      </c>
      <c r="D3" s="2" t="n">
        <v>1313.615343860896</v>
      </c>
      <c r="E3" s="2" t="n">
        <v>947.54680287113</v>
      </c>
      <c r="F3" s="2" t="n">
        <v>5.000000000000003</v>
      </c>
      <c r="G3" s="2" t="n">
        <v>0.3182538316006239</v>
      </c>
      <c r="H3" s="2" t="n">
        <v>0.4183094886771285</v>
      </c>
      <c r="I3" s="2" t="n">
        <v>0.5386704010682458</v>
      </c>
      <c r="J3" s="2" t="n">
        <v>0.008459334307958692</v>
      </c>
      <c r="K3" s="2" t="n">
        <v>0.01382397452390418</v>
      </c>
      <c r="L3" s="2" t="n">
        <v>0.008034917163410274</v>
      </c>
      <c r="M3" s="2" t="n">
        <v>0.01270188425935261</v>
      </c>
      <c r="N3" s="2" t="n">
        <v>0.3881416508730641</v>
      </c>
      <c r="O3" s="2" t="n">
        <v>0.5511251176636868</v>
      </c>
      <c r="P3" s="2" t="n">
        <v>0.01529130987687783</v>
      </c>
      <c r="Q3" s="2" t="n">
        <v>0.02499574906001123</v>
      </c>
      <c r="R3" s="2" t="n">
        <v>0.009039563284171872</v>
      </c>
      <c r="S3" s="2" t="n">
        <v>0.01140660924218823</v>
      </c>
    </row>
    <row r="4" ht="15" customHeight="1" s="3">
      <c r="A4" s="2" t="n">
        <v>3</v>
      </c>
      <c r="B4" s="2" t="n">
        <v>141.7319939060291</v>
      </c>
      <c r="C4" s="2" t="n">
        <v>80.29437223048284</v>
      </c>
      <c r="D4" s="2" t="n">
        <v>1317.59433622192</v>
      </c>
      <c r="E4" s="2" t="n">
        <v>947.54680287113</v>
      </c>
      <c r="F4" s="2" t="n">
        <v>5.000000000000004</v>
      </c>
      <c r="G4" s="2" t="n">
        <v>0.4128415963211021</v>
      </c>
      <c r="H4" s="2" t="n">
        <v>0.2954708147668424</v>
      </c>
      <c r="I4" s="2" t="n">
        <v>0.4271735075063163</v>
      </c>
      <c r="J4" s="2" t="n">
        <v>0.06822184857572024</v>
      </c>
      <c r="K4" s="2" t="n">
        <v>0.1025787984936197</v>
      </c>
      <c r="L4" s="2" t="n">
        <v>0.04640277768487689</v>
      </c>
      <c r="M4" s="2" t="n">
        <v>0.06015225297262454</v>
      </c>
      <c r="N4" s="2" t="n">
        <v>0.3785017051873755</v>
      </c>
      <c r="O4" s="2" t="n">
        <v>0.5346663216495147</v>
      </c>
      <c r="P4" s="2" t="n">
        <v>0.02117445140217348</v>
      </c>
      <c r="Q4" s="2" t="n">
        <v>0.03408398227006595</v>
      </c>
      <c r="R4" s="2" t="n">
        <v>0.01360772110085038</v>
      </c>
      <c r="S4" s="2" t="n">
        <v>0.01796581839001992</v>
      </c>
    </row>
    <row r="5" ht="15" customHeight="1" s="3">
      <c r="A5" s="2" t="n">
        <v>4</v>
      </c>
      <c r="B5" s="2" t="n">
        <v>147.149329752136</v>
      </c>
      <c r="C5" s="2" t="n">
        <v>80.29522966083795</v>
      </c>
      <c r="D5" s="2" t="n">
        <v>1400.50149823727</v>
      </c>
      <c r="E5" s="2" t="n">
        <v>947.54680287113</v>
      </c>
      <c r="F5" s="2" t="n">
        <v>5.000000000000007</v>
      </c>
      <c r="G5" s="2" t="n">
        <v>0.6960463226082306</v>
      </c>
      <c r="H5" s="2" t="n">
        <v>0.3657865910995794</v>
      </c>
      <c r="I5" s="2" t="n">
        <v>0.4894158941018945</v>
      </c>
      <c r="J5" s="2" t="n">
        <v>0.03474389814821283</v>
      </c>
      <c r="K5" s="2" t="n">
        <v>0.05336001909970088</v>
      </c>
      <c r="L5" s="2" t="n">
        <v>0.02420946456504956</v>
      </c>
      <c r="M5" s="2" t="n">
        <v>0.03248413298556269</v>
      </c>
      <c r="N5" s="2" t="n">
        <v>0.3598756011070178</v>
      </c>
      <c r="O5" s="2" t="n">
        <v>0.5054378523178239</v>
      </c>
      <c r="P5" s="2" t="n">
        <v>0.03229693645520457</v>
      </c>
      <c r="Q5" s="2" t="n">
        <v>0.05082183257842316</v>
      </c>
      <c r="R5" s="2" t="n">
        <v>0.02194818411257883</v>
      </c>
      <c r="S5" s="2" t="n">
        <v>0.02961959342895147</v>
      </c>
    </row>
    <row r="6" ht="15" customHeight="1" s="3">
      <c r="A6" s="2" t="n">
        <v>5</v>
      </c>
      <c r="B6" s="2" t="n">
        <v>160.7176120010522</v>
      </c>
      <c r="C6" s="2" t="n">
        <v>80.29609246783171</v>
      </c>
      <c r="D6" s="2" t="n">
        <v>1265.547904266218</v>
      </c>
      <c r="E6" s="2" t="n">
        <v>947.54680287113</v>
      </c>
      <c r="F6" s="2" t="n">
        <v>5.000000000000006</v>
      </c>
      <c r="G6" s="2" t="n">
        <v>0.3071850177818491</v>
      </c>
      <c r="H6" s="2" t="n">
        <v>0.2241655203427493</v>
      </c>
      <c r="I6" s="2" t="n">
        <v>0.3376864230839501</v>
      </c>
      <c r="J6" s="2" t="n">
        <v>0.1082224773221495</v>
      </c>
      <c r="K6" s="2" t="n">
        <v>0.1600016072314646</v>
      </c>
      <c r="L6" s="2" t="n">
        <v>0.07562644707615267</v>
      </c>
      <c r="M6" s="2" t="n">
        <v>0.09429752494353401</v>
      </c>
      <c r="N6" s="2" t="n">
        <v>0.3466133515159394</v>
      </c>
      <c r="O6" s="2" t="n">
        <v>0.4849606419081911</v>
      </c>
      <c r="P6" s="2" t="n">
        <v>0.03909000660038375</v>
      </c>
      <c r="Q6" s="2" t="n">
        <v>0.06089521471160436</v>
      </c>
      <c r="R6" s="2" t="n">
        <v>0.02856062039070341</v>
      </c>
      <c r="S6" s="2" t="n">
        <v>0.03988016487317805</v>
      </c>
    </row>
    <row r="7" ht="15" customHeight="1" s="3">
      <c r="A7" s="2" t="n">
        <v>6</v>
      </c>
      <c r="B7" s="2" t="n">
        <v>139.0542138369398</v>
      </c>
      <c r="C7" s="2" t="n">
        <v>80.29696407330093</v>
      </c>
      <c r="D7" s="2" t="n">
        <v>1328.821819889747</v>
      </c>
      <c r="E7" s="2" t="n">
        <v>947.54680287113</v>
      </c>
      <c r="F7" s="2" t="n">
        <v>5</v>
      </c>
      <c r="G7" s="2" t="n">
        <v>0.4256457259613434</v>
      </c>
      <c r="H7" s="2" t="n">
        <v>0.3511849689928838</v>
      </c>
      <c r="I7" s="2" t="n">
        <v>0.4672591489094364</v>
      </c>
      <c r="J7" s="2" t="n">
        <v>0.04409902064406133</v>
      </c>
      <c r="K7" s="2" t="n">
        <v>0.0664182906579493</v>
      </c>
      <c r="L7" s="2" t="n">
        <v>0.03052842963276992</v>
      </c>
      <c r="M7" s="2" t="n">
        <v>0.04051014116289917</v>
      </c>
      <c r="N7" s="2" t="n">
        <v>0.3234962649023797</v>
      </c>
      <c r="O7" s="2" t="n">
        <v>0.4480616847795224</v>
      </c>
      <c r="P7" s="2" t="n">
        <v>0.05147253493689895</v>
      </c>
      <c r="Q7" s="2" t="n">
        <v>0.07822258941903802</v>
      </c>
      <c r="R7" s="2" t="n">
        <v>0.04078152304708967</v>
      </c>
      <c r="S7" s="2" t="n">
        <v>0.05796540291507116</v>
      </c>
    </row>
    <row r="8" ht="15" customHeight="1" s="3">
      <c r="A8" s="2" t="n">
        <v>7</v>
      </c>
      <c r="B8" s="2" t="n">
        <v>172.0175888016028</v>
      </c>
      <c r="C8" s="2" t="n">
        <v>80.29785365195379</v>
      </c>
      <c r="D8" s="2" t="n">
        <v>1365.489377615818</v>
      </c>
      <c r="E8" s="2" t="n">
        <v>947.54680287113</v>
      </c>
      <c r="F8" s="2" t="n">
        <v>4.999999999999999</v>
      </c>
      <c r="G8" s="2" t="n">
        <v>0.9621991303611073</v>
      </c>
      <c r="H8" s="2" t="n">
        <v>0.2538272318248099</v>
      </c>
      <c r="I8" s="2" t="n">
        <v>0.3528442119694297</v>
      </c>
      <c r="J8" s="2" t="n">
        <v>0.09806661603081734</v>
      </c>
      <c r="K8" s="2" t="n">
        <v>0.142759238822656</v>
      </c>
      <c r="L8" s="2" t="n">
        <v>0.07281490193064602</v>
      </c>
      <c r="M8" s="2" t="n">
        <v>0.07968779942164096</v>
      </c>
      <c r="N8" s="2" t="n">
        <v>0.3119127701616837</v>
      </c>
      <c r="O8" s="2" t="n">
        <v>0.4291429142960464</v>
      </c>
      <c r="P8" s="2" t="n">
        <v>0.05881925532632697</v>
      </c>
      <c r="Q8" s="2" t="n">
        <v>0.08847304926905224</v>
      </c>
      <c r="R8" s="2" t="n">
        <v>0.04631996903669693</v>
      </c>
      <c r="S8" s="2" t="n">
        <v>0.065332041910194</v>
      </c>
    </row>
    <row r="9" ht="15" customHeight="1" s="3">
      <c r="A9" s="2" t="n">
        <v>8</v>
      </c>
      <c r="B9" s="2" t="n">
        <v>146.8198072792748</v>
      </c>
      <c r="C9" s="2" t="n">
        <v>80.29874494788504</v>
      </c>
      <c r="D9" s="2" t="n">
        <v>1354.988577832978</v>
      </c>
      <c r="E9" s="2" t="n">
        <v>947.54680287113</v>
      </c>
      <c r="F9" s="2" t="n">
        <v>5</v>
      </c>
      <c r="G9" s="2" t="n">
        <v>0.2800327171333371</v>
      </c>
      <c r="H9" s="2" t="n">
        <v>0.4273266816925602</v>
      </c>
      <c r="I9" s="2" t="n">
        <v>0.5309225277777506</v>
      </c>
      <c r="J9" s="2" t="n">
        <v>0</v>
      </c>
      <c r="K9" s="2" t="n">
        <v>0</v>
      </c>
      <c r="L9" s="2" t="n">
        <v>0</v>
      </c>
      <c r="M9" s="2" t="n">
        <v>0.04175079052968939</v>
      </c>
      <c r="N9" s="2" t="n">
        <v>0.2963194246556993</v>
      </c>
      <c r="O9" s="2" t="n">
        <v>0.405670593027623</v>
      </c>
      <c r="P9" s="2" t="n">
        <v>0.06600263733438126</v>
      </c>
      <c r="Q9" s="2" t="n">
        <v>0.09788374921644206</v>
      </c>
      <c r="R9" s="2" t="n">
        <v>0.05516148634336182</v>
      </c>
      <c r="S9" s="2" t="n">
        <v>0.07896210942249249</v>
      </c>
    </row>
    <row r="10" ht="15" customHeight="1" s="3">
      <c r="A10" s="2" t="n">
        <v>9</v>
      </c>
      <c r="B10" s="2" t="n">
        <v>181.8643126139755</v>
      </c>
      <c r="C10" s="2" t="n">
        <v>80.29966398285475</v>
      </c>
      <c r="D10" s="2" t="n">
        <v>1412.561098637972</v>
      </c>
      <c r="E10" s="2" t="n">
        <v>947.54680287113</v>
      </c>
      <c r="F10" s="2" t="n">
        <v>5.000000000000003</v>
      </c>
      <c r="G10" s="2" t="n">
        <v>0.9747614458425964</v>
      </c>
      <c r="H10" s="2" t="n">
        <v>0.230362048336677</v>
      </c>
      <c r="I10" s="2" t="n">
        <v>0.315582345132778</v>
      </c>
      <c r="J10" s="2" t="n">
        <v>0.1236830761081201</v>
      </c>
      <c r="K10" s="2" t="n">
        <v>0.1761234056205443</v>
      </c>
      <c r="L10" s="2" t="n">
        <v>0.09723911307837545</v>
      </c>
      <c r="M10" s="2" t="n">
        <v>0.05701001172350521</v>
      </c>
      <c r="N10" s="2" t="n">
        <v>0.2872856828824784</v>
      </c>
      <c r="O10" s="2" t="n">
        <v>0.3887143940880795</v>
      </c>
      <c r="P10" s="2" t="n">
        <v>0.07159585997955331</v>
      </c>
      <c r="Q10" s="2" t="n">
        <v>0.1051002320675108</v>
      </c>
      <c r="R10" s="2" t="n">
        <v>0.06020580620000675</v>
      </c>
      <c r="S10" s="2" t="n">
        <v>0.08709802478237101</v>
      </c>
    </row>
    <row r="11" ht="15" customHeight="1" s="3">
      <c r="A11" s="2" t="n">
        <v>10</v>
      </c>
      <c r="B11" s="2" t="n">
        <v>150.0587903579723</v>
      </c>
      <c r="C11" s="2" t="n">
        <v>80.30057398296441</v>
      </c>
      <c r="D11" s="2" t="n">
        <v>1470.474577901495</v>
      </c>
      <c r="E11" s="2" t="n">
        <v>947.54680287113</v>
      </c>
      <c r="F11" s="2" t="n">
        <v>4.999999999999996</v>
      </c>
      <c r="G11" s="2" t="n">
        <v>0.3927371037778898</v>
      </c>
      <c r="H11" s="2" t="n">
        <v>0.380863624862314</v>
      </c>
      <c r="I11" s="2" t="n">
        <v>0.4618412652436742</v>
      </c>
      <c r="J11" s="2" t="n">
        <v>0</v>
      </c>
      <c r="K11" s="2" t="n">
        <v>0</v>
      </c>
      <c r="L11" s="2" t="n">
        <v>0</v>
      </c>
      <c r="M11" s="2" t="n">
        <v>0.1572951098940117</v>
      </c>
      <c r="N11" s="2" t="n">
        <v>0.2578084836961268</v>
      </c>
      <c r="O11" s="2" t="n">
        <v>0.3421820326476672</v>
      </c>
      <c r="P11" s="2" t="n">
        <v>0.08610036441843225</v>
      </c>
      <c r="Q11" s="2" t="n">
        <v>0.1228789616217995</v>
      </c>
      <c r="R11" s="2" t="n">
        <v>0.07826542473095148</v>
      </c>
      <c r="S11" s="2" t="n">
        <v>0.1127647328850228</v>
      </c>
    </row>
    <row r="12" ht="15" customHeight="1" s="3">
      <c r="A12" s="2" t="n">
        <v>11</v>
      </c>
      <c r="B12" s="2" t="n">
        <v>158.5144345534965</v>
      </c>
      <c r="C12" s="2" t="n">
        <v>80.30148773842353</v>
      </c>
      <c r="D12" s="2" t="n">
        <v>1398.233688844015</v>
      </c>
      <c r="E12" s="2" t="n">
        <v>947.54680287113</v>
      </c>
      <c r="F12" s="2" t="n">
        <v>5.000000000000001</v>
      </c>
      <c r="G12" s="2" t="n">
        <v>0.4994440494656847</v>
      </c>
      <c r="H12" s="2" t="n">
        <v>0.1311457463778088</v>
      </c>
      <c r="I12" s="2" t="n">
        <v>0.1865356579455921</v>
      </c>
      <c r="J12" s="2" t="n">
        <v>0.206283261398775</v>
      </c>
      <c r="K12" s="2" t="n">
        <v>0.2850952556097857</v>
      </c>
      <c r="L12" s="2" t="n">
        <v>0.1747884997259426</v>
      </c>
      <c r="M12" s="2" t="n">
        <v>0.01615157894209599</v>
      </c>
      <c r="N12" s="2" t="n">
        <v>0.2398005750706962</v>
      </c>
      <c r="O12" s="2" t="n">
        <v>0.3125069723981559</v>
      </c>
      <c r="P12" s="2" t="n">
        <v>0.09381951923817727</v>
      </c>
      <c r="Q12" s="2" t="n">
        <v>0.1311686791136118</v>
      </c>
      <c r="R12" s="2" t="n">
        <v>0.08937522486058286</v>
      </c>
      <c r="S12" s="2" t="n">
        <v>0.133329029318776</v>
      </c>
    </row>
    <row r="13" ht="15" customHeight="1" s="3">
      <c r="A13" s="2" t="n">
        <v>12</v>
      </c>
      <c r="B13" s="2" t="n">
        <v>149.0776046070067</v>
      </c>
      <c r="C13" s="2" t="n">
        <v>80.30240856396848</v>
      </c>
      <c r="D13" s="2" t="n">
        <v>1367.093691522748</v>
      </c>
      <c r="E13" s="2" t="n">
        <v>947.54680287113</v>
      </c>
      <c r="F13" s="2" t="n">
        <v>4.999999999999999</v>
      </c>
      <c r="G13" s="2" t="n">
        <v>0.413450681017577</v>
      </c>
      <c r="H13" s="2" t="n">
        <v>0.3243880823884003</v>
      </c>
      <c r="I13" s="2" t="n">
        <v>0.3777965601494822</v>
      </c>
      <c r="J13" s="2" t="n">
        <v>0</v>
      </c>
      <c r="K13" s="2" t="n">
        <v>0</v>
      </c>
      <c r="L13" s="2" t="n">
        <v>0</v>
      </c>
      <c r="M13" s="2" t="n">
        <v>0.2978153574621176</v>
      </c>
      <c r="N13" s="2" t="n">
        <v>0.2321795724780333</v>
      </c>
      <c r="O13" s="2" t="n">
        <v>0.2996655044606879</v>
      </c>
      <c r="P13" s="2" t="n">
        <v>0.1001077439258617</v>
      </c>
      <c r="Q13" s="2" t="n">
        <v>0.1389916387805004</v>
      </c>
      <c r="R13" s="2" t="n">
        <v>0.09404086335331363</v>
      </c>
      <c r="S13" s="2" t="n">
        <v>0.135014677001603</v>
      </c>
    </row>
    <row r="14" ht="15" customHeight="1" s="3">
      <c r="A14" s="2" t="n">
        <v>13</v>
      </c>
      <c r="B14" s="2" t="n">
        <v>158.7228011122864</v>
      </c>
      <c r="C14" s="2" t="n">
        <v>80.30332520219287</v>
      </c>
      <c r="D14" s="2" t="n">
        <v>1354.776157504102</v>
      </c>
      <c r="E14" s="2" t="n">
        <v>947.54680287113</v>
      </c>
      <c r="F14" s="2" t="n">
        <v>5.000000000000004</v>
      </c>
      <c r="G14" s="2" t="n">
        <v>0.4195413238473819</v>
      </c>
      <c r="H14" s="2" t="n">
        <v>0.07528530898832481</v>
      </c>
      <c r="I14" s="2" t="n">
        <v>0.1135125595764234</v>
      </c>
      <c r="J14" s="2" t="n">
        <v>0.2518200532326837</v>
      </c>
      <c r="K14" s="2" t="n">
        <v>0.3470311621482041</v>
      </c>
      <c r="L14" s="2" t="n">
        <v>0.212350916054364</v>
      </c>
      <c r="M14" s="2" t="n">
        <v>0</v>
      </c>
      <c r="N14" s="2" t="n">
        <v>0.2126413277420997</v>
      </c>
      <c r="O14" s="2" t="n">
        <v>0.2681304250651027</v>
      </c>
      <c r="P14" s="2" t="n">
        <v>0.1078481377780768</v>
      </c>
      <c r="Q14" s="2" t="n">
        <v>0.146277934793712</v>
      </c>
      <c r="R14" s="2" t="n">
        <v>0.1060048043560191</v>
      </c>
      <c r="S14" s="2" t="n">
        <v>0.1590973702649899</v>
      </c>
    </row>
    <row r="15" ht="15" customHeight="1" s="3">
      <c r="A15" s="2" t="n">
        <v>14</v>
      </c>
      <c r="B15" s="2" t="n">
        <v>160.5198809838134</v>
      </c>
      <c r="C15" s="2" t="n">
        <v>80.30424576120808</v>
      </c>
      <c r="D15" s="2" t="n">
        <v>1302.453860719846</v>
      </c>
      <c r="E15" s="2" t="n">
        <v>947.54680287113</v>
      </c>
      <c r="F15" s="2" t="n">
        <v>4.999999999999999</v>
      </c>
      <c r="G15" s="2" t="n">
        <v>0.3882451035806297</v>
      </c>
      <c r="H15" s="2" t="n">
        <v>0.3167237771976</v>
      </c>
      <c r="I15" s="2" t="n">
        <v>0.3639813593386534</v>
      </c>
      <c r="J15" s="2" t="n">
        <v>0</v>
      </c>
      <c r="K15" s="2" t="n">
        <v>0</v>
      </c>
      <c r="L15" s="2" t="n">
        <v>0</v>
      </c>
      <c r="M15" s="2" t="n">
        <v>0.3192948634637467</v>
      </c>
      <c r="N15" s="2" t="n">
        <v>0.2022690134587358</v>
      </c>
      <c r="O15" s="2" t="n">
        <v>0.2518992494532949</v>
      </c>
      <c r="P15" s="2" t="n">
        <v>0.1145591465503869</v>
      </c>
      <c r="Q15" s="2" t="n">
        <v>0.1540422862641284</v>
      </c>
      <c r="R15" s="2" t="n">
        <v>0.1127522848544521</v>
      </c>
      <c r="S15" s="2" t="n">
        <v>0.164478019419002</v>
      </c>
    </row>
    <row r="16" ht="15" customHeight="1" s="3">
      <c r="A16" s="2" t="n">
        <v>15</v>
      </c>
      <c r="B16" s="2" t="n">
        <v>160.386595055411</v>
      </c>
      <c r="C16" s="2" t="n">
        <v>80.30516065334062</v>
      </c>
      <c r="D16" s="2" t="n">
        <v>1246.839815744447</v>
      </c>
      <c r="E16" s="2" t="n">
        <v>947.54680287113</v>
      </c>
      <c r="F16" s="2" t="n">
        <v>4.999999999999997</v>
      </c>
      <c r="G16" s="2" t="n">
        <v>0.3611270752477502</v>
      </c>
      <c r="H16" s="2" t="n">
        <v>0.02043651208592163</v>
      </c>
      <c r="I16" s="2" t="n">
        <v>0.03315023580529719</v>
      </c>
      <c r="J16" s="2" t="n">
        <v>0.29136547878215</v>
      </c>
      <c r="K16" s="2" t="n">
        <v>0.3956447460309692</v>
      </c>
      <c r="L16" s="2" t="n">
        <v>0.2594030272956619</v>
      </c>
      <c r="M16" s="2" t="n">
        <v>0</v>
      </c>
      <c r="N16" s="2" t="n">
        <v>0.1924987464929259</v>
      </c>
      <c r="O16" s="2" t="n">
        <v>0.2350029143849273</v>
      </c>
      <c r="P16" s="2" t="n">
        <v>0.1182281357747941</v>
      </c>
      <c r="Q16" s="2" t="n">
        <v>0.1573382541592982</v>
      </c>
      <c r="R16" s="2" t="n">
        <v>0.1184307410828972</v>
      </c>
      <c r="S16" s="2" t="n">
        <v>0.1785012081051575</v>
      </c>
    </row>
    <row r="17" ht="15" customHeight="1" s="3">
      <c r="A17" s="2" t="n">
        <v>16</v>
      </c>
      <c r="B17" s="2" t="n">
        <v>158.9471349394179</v>
      </c>
      <c r="C17" s="2" t="n">
        <v>80.30607009383968</v>
      </c>
      <c r="D17" s="2" t="n">
        <v>1148.327787390205</v>
      </c>
      <c r="E17" s="2" t="n">
        <v>947.54680287113</v>
      </c>
      <c r="F17" s="2" t="n">
        <v>5.000000000000001</v>
      </c>
      <c r="G17" s="2" t="n">
        <v>0.3298719924512873</v>
      </c>
      <c r="H17" s="2" t="n">
        <v>0.3155473842986178</v>
      </c>
      <c r="I17" s="2" t="n">
        <v>0.3605602335887033</v>
      </c>
      <c r="J17" s="2" t="n">
        <v>0</v>
      </c>
      <c r="K17" s="2" t="n">
        <v>0</v>
      </c>
      <c r="L17" s="2" t="n">
        <v>0</v>
      </c>
      <c r="M17" s="2" t="n">
        <v>0.323892382112679</v>
      </c>
      <c r="N17" s="2" t="n">
        <v>0.1857451142381225</v>
      </c>
      <c r="O17" s="2" t="n">
        <v>0.2232285392991253</v>
      </c>
      <c r="P17" s="2" t="n">
        <v>0.1236905615014216</v>
      </c>
      <c r="Q17" s="2" t="n">
        <v>0.1642761920109744</v>
      </c>
      <c r="R17" s="2" t="n">
        <v>0.1233829649678894</v>
      </c>
      <c r="S17" s="2" t="n">
        <v>0.1796766279824668</v>
      </c>
    </row>
    <row r="18" ht="15" customHeight="1" s="3">
      <c r="A18" s="2" t="n">
        <v>17</v>
      </c>
      <c r="B18" s="2" t="n">
        <v>152.5513488325163</v>
      </c>
      <c r="C18" s="2" t="n">
        <v>80.30696622042713</v>
      </c>
      <c r="D18" s="2" t="n">
        <v>1042.731869576796</v>
      </c>
      <c r="E18" s="2" t="n">
        <v>947.54680287113</v>
      </c>
      <c r="F18" s="2" t="n">
        <v>5.000000000000001</v>
      </c>
      <c r="G18" s="2" t="n">
        <v>0.2758542425709258</v>
      </c>
      <c r="H18" s="2" t="n">
        <v>0</v>
      </c>
      <c r="I18" s="2" t="n">
        <v>0</v>
      </c>
      <c r="J18" s="2" t="n">
        <v>0.3061804882608916</v>
      </c>
      <c r="K18" s="2" t="n">
        <v>0.41209370034526</v>
      </c>
      <c r="L18" s="2" t="n">
        <v>0.2817258113938484</v>
      </c>
      <c r="M18" s="2" t="n">
        <v>0</v>
      </c>
      <c r="N18" s="2" t="n">
        <v>0.1827996958610045</v>
      </c>
      <c r="O18" s="2" t="n">
        <v>0.2159647630079866</v>
      </c>
      <c r="P18" s="2" t="n">
        <v>0.1249173302455555</v>
      </c>
      <c r="Q18" s="2" t="n">
        <v>0.1657089503324496</v>
      </c>
      <c r="R18" s="2" t="n">
        <v>0.1245133858772474</v>
      </c>
      <c r="S18" s="2" t="n">
        <v>0.1860958746757566</v>
      </c>
    </row>
    <row r="19" ht="15" customHeight="1" s="3">
      <c r="A19" s="2" t="n">
        <v>18</v>
      </c>
      <c r="B19" s="2" t="n">
        <v>147.159739070284</v>
      </c>
      <c r="C19" s="2" t="n">
        <v>80.3078457443402</v>
      </c>
      <c r="D19" s="2" t="n">
        <v>874.366643485166</v>
      </c>
      <c r="E19" s="2" t="n">
        <v>947.54680287113</v>
      </c>
      <c r="F19" s="2" t="n">
        <v>5.000000000000005</v>
      </c>
      <c r="G19" s="2" t="n">
        <v>0.2265155647382449</v>
      </c>
      <c r="H19" s="2" t="n">
        <v>0.3025960224670698</v>
      </c>
      <c r="I19" s="2" t="n">
        <v>0.3430275512293366</v>
      </c>
      <c r="J19" s="2" t="n">
        <v>0</v>
      </c>
      <c r="K19" s="2" t="n">
        <v>0</v>
      </c>
      <c r="L19" s="2" t="n">
        <v>0</v>
      </c>
      <c r="M19" s="2" t="n">
        <v>0.3543764263035935</v>
      </c>
      <c r="N19" s="2" t="n">
        <v>0.1775123345792936</v>
      </c>
      <c r="O19" s="2" t="n">
        <v>0.2067513809070489</v>
      </c>
      <c r="P19" s="2" t="n">
        <v>0.1289780690712761</v>
      </c>
      <c r="Q19" s="2" t="n">
        <v>0.1712310650850757</v>
      </c>
      <c r="R19" s="2" t="n">
        <v>0.1278325820768989</v>
      </c>
      <c r="S19" s="2" t="n">
        <v>0.1876945682804068</v>
      </c>
    </row>
    <row r="20" ht="15" customHeight="1" s="3">
      <c r="A20" s="2" t="n">
        <v>19</v>
      </c>
      <c r="B20" s="2" t="n">
        <v>147.1511416390958</v>
      </c>
      <c r="C20" s="2" t="n">
        <v>80.30870944610764</v>
      </c>
      <c r="D20" s="2" t="n">
        <v>700.0373064160822</v>
      </c>
      <c r="E20" s="2" t="n">
        <v>947.54680287113</v>
      </c>
      <c r="F20" s="2" t="n">
        <v>5</v>
      </c>
      <c r="G20" s="2" t="n">
        <v>0.08189108282337618</v>
      </c>
      <c r="H20" s="2" t="n">
        <v>0</v>
      </c>
      <c r="I20" s="2" t="n">
        <v>0</v>
      </c>
      <c r="J20" s="2" t="n">
        <v>0.30465515682072</v>
      </c>
      <c r="K20" s="2" t="n">
        <v>0.4090495345254814</v>
      </c>
      <c r="L20" s="2" t="n">
        <v>0.2862953086537987</v>
      </c>
      <c r="M20" s="2" t="n">
        <v>0</v>
      </c>
      <c r="N20" s="2" t="n">
        <v>0.1745838491751837</v>
      </c>
      <c r="O20" s="2" t="n">
        <v>0.2009569201771618</v>
      </c>
      <c r="P20" s="2" t="n">
        <v>0.1301179230267532</v>
      </c>
      <c r="Q20" s="2" t="n">
        <v>0.1728839265549273</v>
      </c>
      <c r="R20" s="2" t="n">
        <v>0.1284689605020088</v>
      </c>
      <c r="S20" s="2" t="n">
        <v>0.1929884205639652</v>
      </c>
    </row>
    <row r="21" ht="15" customHeight="1" s="3">
      <c r="A21" s="2" t="n">
        <v>20</v>
      </c>
      <c r="B21" s="2" t="n">
        <v>250.3422480459556</v>
      </c>
      <c r="C21" s="2" t="n">
        <v>80.30957753708667</v>
      </c>
      <c r="D21" s="2" t="n">
        <v>540.7889131518551</v>
      </c>
      <c r="E21" s="2" t="n">
        <v>947.54680287113</v>
      </c>
      <c r="F21" s="2" t="n">
        <v>4.999999999999998</v>
      </c>
      <c r="G21" s="2" t="n">
        <v>0.3144689116377815</v>
      </c>
      <c r="H21" s="2" t="n">
        <v>0.1597939232580108</v>
      </c>
      <c r="I21" s="2" t="n">
        <v>0.1803937095921223</v>
      </c>
      <c r="J21" s="2" t="n">
        <v>0.141024215835559</v>
      </c>
      <c r="K21" s="2" t="n">
        <v>0.1894637854919176</v>
      </c>
      <c r="L21" s="2" t="n">
        <v>0.1323495808339513</v>
      </c>
      <c r="M21" s="2" t="n">
        <v>0.1969747849884391</v>
      </c>
      <c r="N21" s="2" t="n">
        <v>0.1665231529108741</v>
      </c>
      <c r="O21" s="2" t="n">
        <v>0.190000179266901</v>
      </c>
      <c r="P21" s="2" t="n">
        <v>0.1337589420684869</v>
      </c>
      <c r="Q21" s="2" t="n">
        <v>0.1777770071988921</v>
      </c>
      <c r="R21" s="2" t="n">
        <v>0.1322752577227049</v>
      </c>
      <c r="S21" s="2" t="n">
        <v>0.1996654608321408</v>
      </c>
    </row>
    <row r="22" ht="15" customHeight="1" s="3">
      <c r="A22" s="2" t="n">
        <v>21</v>
      </c>
      <c r="B22" s="2" t="n">
        <v>1634.334725788085</v>
      </c>
      <c r="C22" s="2" t="n">
        <v>80.31051481222374</v>
      </c>
      <c r="D22" s="2" t="n">
        <v>741.3014997091374</v>
      </c>
      <c r="E22" s="2" t="n">
        <v>947.54680287113</v>
      </c>
      <c r="F22" s="2" t="n">
        <v>5.000000000000006</v>
      </c>
      <c r="G22" s="2" t="n">
        <v>1.579136910562145</v>
      </c>
      <c r="H22" s="2" t="n">
        <v>0.156215768532107</v>
      </c>
      <c r="I22" s="2" t="n">
        <v>0.1760814121803078</v>
      </c>
      <c r="J22" s="2" t="n">
        <v>0.144715837710823</v>
      </c>
      <c r="K22" s="2" t="n">
        <v>0.194898436664507</v>
      </c>
      <c r="L22" s="2" t="n">
        <v>0.1345244800882248</v>
      </c>
      <c r="M22" s="2" t="n">
        <v>0.1935640648240304</v>
      </c>
      <c r="N22" s="2" t="n">
        <v>0.1611285759771371</v>
      </c>
      <c r="O22" s="2" t="n">
        <v>0.18229169707429</v>
      </c>
      <c r="P22" s="2" t="n">
        <v>0.1384178795692308</v>
      </c>
      <c r="Q22" s="2" t="n">
        <v>0.1850626182825095</v>
      </c>
      <c r="R22" s="2" t="n">
        <v>0.1331175511077544</v>
      </c>
      <c r="S22" s="2" t="n">
        <v>0.1999816779890781</v>
      </c>
    </row>
    <row r="23" ht="15" customHeight="1" s="3">
      <c r="A23" s="2" t="n">
        <v>22</v>
      </c>
      <c r="B23" s="2" t="n">
        <v>8360.899065334503</v>
      </c>
      <c r="C23" s="2" t="n">
        <v>80.312012506695</v>
      </c>
      <c r="D23" s="2" t="n">
        <v>1002.39811503221</v>
      </c>
      <c r="E23" s="2" t="n">
        <v>947.54680287113</v>
      </c>
      <c r="F23" s="2" t="n">
        <v>5.000000000000001</v>
      </c>
      <c r="G23" s="2" t="n">
        <v>2.418361436516284</v>
      </c>
      <c r="H23" s="2" t="n">
        <v>0.1667296351513286</v>
      </c>
      <c r="I23" s="2" t="n">
        <v>0.1878938699630709</v>
      </c>
      <c r="J23" s="2" t="n">
        <v>0.1347316041818084</v>
      </c>
      <c r="K23" s="2" t="n">
        <v>0.182302347106925</v>
      </c>
      <c r="L23" s="2" t="n">
        <v>0.1232408987286264</v>
      </c>
      <c r="M23" s="2" t="n">
        <v>0.2051016448682407</v>
      </c>
      <c r="N23" s="2" t="n">
        <v>0.1577208660652467</v>
      </c>
      <c r="O23" s="2" t="n">
        <v>0.1770674090925461</v>
      </c>
      <c r="P23" s="2" t="n">
        <v>0.1431125822838907</v>
      </c>
      <c r="Q23" s="2" t="n">
        <v>0.1925290985908372</v>
      </c>
      <c r="R23" s="2" t="n">
        <v>0.1333399298702735</v>
      </c>
      <c r="S23" s="2" t="n">
        <v>0.1962301140972056</v>
      </c>
    </row>
    <row r="24" ht="15" customHeight="1" s="3">
      <c r="A24" s="2" t="n">
        <v>23</v>
      </c>
      <c r="B24" s="2" t="n">
        <v>22442.06888050366</v>
      </c>
      <c r="C24" s="2" t="n">
        <v>80.31529099463231</v>
      </c>
      <c r="D24" s="2" t="n">
        <v>1230.379916349592</v>
      </c>
      <c r="E24" s="2" t="n">
        <v>1890.68436049856</v>
      </c>
      <c r="F24" s="2" t="n">
        <v>7.516944159945435</v>
      </c>
      <c r="G24" s="2" t="n">
        <v>0.3656663486354156</v>
      </c>
      <c r="H24" s="2" t="n">
        <v>0.005275268887118201</v>
      </c>
      <c r="I24" s="2" t="n">
        <v>0.009467945434134321</v>
      </c>
      <c r="J24" s="2" t="n">
        <v>0.301731647513007</v>
      </c>
      <c r="K24" s="2" t="n">
        <v>0.4107933550311623</v>
      </c>
      <c r="L24" s="2" t="n">
        <v>0.2727317831345782</v>
      </c>
      <c r="M24" s="2" t="n">
        <v>0</v>
      </c>
      <c r="N24" s="2" t="n">
        <v>0.1964793556715156</v>
      </c>
      <c r="O24" s="2" t="n">
        <v>0.2396666338819896</v>
      </c>
      <c r="P24" s="2" t="n">
        <v>0.1218349200386923</v>
      </c>
      <c r="Q24" s="2" t="n">
        <v>0.1656639055285549</v>
      </c>
      <c r="R24" s="2" t="n">
        <v>0.1112160402924572</v>
      </c>
      <c r="S24" s="2" t="n">
        <v>0.1651391445867904</v>
      </c>
    </row>
    <row r="25" ht="15" customHeight="1" s="3">
      <c r="A25" s="2" t="n">
        <v>24</v>
      </c>
      <c r="B25" s="2" t="n">
        <v>75266.48797757459</v>
      </c>
      <c r="C25" s="2" t="n">
        <v>80.32136490055278</v>
      </c>
      <c r="D25" s="2" t="n">
        <v>1193.815661496383</v>
      </c>
      <c r="E25" s="2" t="n">
        <v>1890.68436049856</v>
      </c>
      <c r="F25" s="2" t="n">
        <v>5.000000000000001</v>
      </c>
      <c r="G25" s="2" t="n">
        <v>0.1713352692145848</v>
      </c>
      <c r="H25" s="2" t="n">
        <v>0.2961478437520922</v>
      </c>
      <c r="I25" s="2" t="n">
        <v>0.3314385139620888</v>
      </c>
      <c r="J25" s="2" t="n">
        <v>0</v>
      </c>
      <c r="K25" s="2" t="n">
        <v>0</v>
      </c>
      <c r="L25" s="2" t="n">
        <v>0</v>
      </c>
      <c r="M25" s="2" t="n">
        <v>0.372413642285819</v>
      </c>
      <c r="N25" s="2" t="n">
        <v>0.1919975736879529</v>
      </c>
      <c r="O25" s="2" t="n">
        <v>0.2328723882144839</v>
      </c>
      <c r="P25" s="2" t="n">
        <v>0.124834113404969</v>
      </c>
      <c r="Q25" s="2" t="n">
        <v>0.1697664930509992</v>
      </c>
      <c r="R25" s="2" t="n">
        <v>0.1139750523686375</v>
      </c>
      <c r="S25" s="2" t="n">
        <v>0.1665543792729573</v>
      </c>
    </row>
    <row r="26" ht="15" customHeight="1" s="3">
      <c r="A26" s="2" t="n">
        <v>25</v>
      </c>
      <c r="B26" s="2" t="n">
        <v>216174.4547319137</v>
      </c>
      <c r="C26" s="2" t="n">
        <v>80.34069855863717</v>
      </c>
      <c r="D26" s="2" t="n">
        <v>1072.23608174442</v>
      </c>
      <c r="E26" s="2" t="n">
        <v>1890.68436049856</v>
      </c>
      <c r="F26" s="2" t="n">
        <v>5.000000000000002</v>
      </c>
      <c r="G26" s="2" t="n">
        <v>1.522538121130486</v>
      </c>
      <c r="H26" s="2" t="n">
        <v>0.1510175184479653</v>
      </c>
      <c r="I26" s="2" t="n">
        <v>0.1674058276322059</v>
      </c>
      <c r="J26" s="2" t="n">
        <v>0.1486341515178736</v>
      </c>
      <c r="K26" s="2" t="n">
        <v>0.2023987190111386</v>
      </c>
      <c r="L26" s="2" t="n">
        <v>0.1340973097247837</v>
      </c>
      <c r="M26" s="2" t="n">
        <v>0.1964464736660331</v>
      </c>
      <c r="N26" s="2" t="n">
        <v>0.1782099914043681</v>
      </c>
      <c r="O26" s="2" t="n">
        <v>0.2108340079191545</v>
      </c>
      <c r="P26" s="2" t="n">
        <v>0.1324820640037566</v>
      </c>
      <c r="Q26" s="2" t="n">
        <v>0.1802705374300601</v>
      </c>
      <c r="R26" s="2" t="n">
        <v>0.1205779059469474</v>
      </c>
      <c r="S26" s="2" t="n">
        <v>0.1776254932957133</v>
      </c>
    </row>
    <row r="27" ht="15" customHeight="1" s="3">
      <c r="A27" s="2" t="n">
        <v>26</v>
      </c>
      <c r="B27" s="2" t="n">
        <v>530248.8007072927</v>
      </c>
      <c r="C27" s="2" t="n">
        <v>80.39905889411722</v>
      </c>
      <c r="D27" s="2" t="n">
        <v>1156.016353432488</v>
      </c>
      <c r="E27" s="2" t="n">
        <v>1890.68436049856</v>
      </c>
      <c r="F27" s="2" t="n">
        <v>5.000000000000002</v>
      </c>
      <c r="G27" s="2" t="n">
        <v>2.091472540847455</v>
      </c>
      <c r="H27" s="2" t="n">
        <v>0.1340093766942471</v>
      </c>
      <c r="I27" s="2" t="n">
        <v>0.1400576580095455</v>
      </c>
      <c r="J27" s="2" t="n">
        <v>0.1588382201203798</v>
      </c>
      <c r="K27" s="2" t="n">
        <v>0.2163799655714724</v>
      </c>
      <c r="L27" s="2" t="n">
        <v>0.1425418163190057</v>
      </c>
      <c r="M27" s="2" t="n">
        <v>0.2081729632853495</v>
      </c>
      <c r="N27" s="2" t="n">
        <v>0.1601428204895878</v>
      </c>
      <c r="O27" s="2" t="n">
        <v>0.1822616581767847</v>
      </c>
      <c r="P27" s="2" t="n">
        <v>0.1430539730159358</v>
      </c>
      <c r="Q27" s="2" t="n">
        <v>0.1947549339511983</v>
      </c>
      <c r="R27" s="2" t="n">
        <v>0.1295629617206514</v>
      </c>
      <c r="S27" s="2" t="n">
        <v>0.1902236526458419</v>
      </c>
    </row>
    <row r="28" ht="15" customHeight="1" s="3">
      <c r="A28" s="2" t="n">
        <v>27</v>
      </c>
      <c r="B28" s="2" t="n">
        <v>1126746.9141592</v>
      </c>
      <c r="C28" s="2" t="n">
        <v>80.539455761469</v>
      </c>
      <c r="D28" s="2" t="n">
        <v>1266.099849223274</v>
      </c>
      <c r="E28" s="2" t="n">
        <v>1890.68436049856</v>
      </c>
      <c r="F28" s="2" t="n">
        <v>5.000000000000008</v>
      </c>
      <c r="G28" s="2" t="n">
        <v>1.202578782096903</v>
      </c>
      <c r="H28" s="2" t="n">
        <v>0.1152859582714194</v>
      </c>
      <c r="I28" s="2" t="n">
        <v>0.1095732132273412</v>
      </c>
      <c r="J28" s="2" t="n">
        <v>0.1702876534084961</v>
      </c>
      <c r="K28" s="2" t="n">
        <v>0.2320767130320393</v>
      </c>
      <c r="L28" s="2" t="n">
        <v>0.1518433797967081</v>
      </c>
      <c r="M28" s="2" t="n">
        <v>0.2209330822639961</v>
      </c>
      <c r="N28" s="2" t="n">
        <v>0.1451796388016584</v>
      </c>
      <c r="O28" s="2" t="n">
        <v>0.158494953288432</v>
      </c>
      <c r="P28" s="2" t="n">
        <v>0.1518681672157247</v>
      </c>
      <c r="Q28" s="2" t="n">
        <v>0.2068051789832204</v>
      </c>
      <c r="R28" s="2" t="n">
        <v>0.1369895576261696</v>
      </c>
      <c r="S28" s="2" t="n">
        <v>0.2006625040847949</v>
      </c>
    </row>
    <row r="29" ht="15" customHeight="1" s="3">
      <c r="A29" s="2" t="n">
        <v>28</v>
      </c>
      <c r="B29" s="2" t="n">
        <v>2145813.21378273</v>
      </c>
      <c r="C29" s="2" t="n">
        <v>80.539455761469</v>
      </c>
      <c r="D29" s="2" t="n">
        <v>1318.7170674858</v>
      </c>
      <c r="E29" s="2" t="n">
        <v>1890.68436049856</v>
      </c>
      <c r="F29" s="2" t="n">
        <v>5.000000000000004</v>
      </c>
      <c r="G29" s="2" t="n">
        <v>0.274350010998485</v>
      </c>
      <c r="H29" s="2" t="n">
        <v>0.100847960057223</v>
      </c>
      <c r="I29" s="2" t="n">
        <v>0.08584924586745622</v>
      </c>
      <c r="J29" s="2" t="n">
        <v>0.1792380114403168</v>
      </c>
      <c r="K29" s="2" t="n">
        <v>0.2443646782164254</v>
      </c>
      <c r="L29" s="2" t="n">
        <v>0.1590177845457139</v>
      </c>
      <c r="M29" s="2" t="n">
        <v>0.2306823198728646</v>
      </c>
      <c r="N29" s="2" t="n">
        <v>0.1364920629385721</v>
      </c>
      <c r="O29" s="2" t="n">
        <v>0.1448686555433385</v>
      </c>
      <c r="P29" s="2" t="n">
        <v>0.1568646443768055</v>
      </c>
      <c r="Q29" s="2" t="n">
        <v>0.2135775556626712</v>
      </c>
      <c r="R29" s="2" t="n">
        <v>0.1413252558167541</v>
      </c>
      <c r="S29" s="2" t="n">
        <v>0.2068718256618586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8.6796875" defaultRowHeight="15" customHeight="0" zeroHeight="0" outlineLevelRow="0"/>
  <cols>
    <col width="23.69" customWidth="1" style="2" min="1" max="1"/>
  </cols>
  <sheetData>
    <row r="1" ht="15" customHeight="1" s="3">
      <c r="A1" s="2" t="inlineStr">
        <is>
          <t>Stream</t>
        </is>
      </c>
      <c r="B1" s="2" t="inlineStr">
        <is>
          <t>Feed</t>
        </is>
      </c>
      <c r="C1" s="2" t="inlineStr">
        <is>
          <t>Distillate</t>
        </is>
      </c>
      <c r="D1" s="2" t="inlineStr">
        <is>
          <t>Bottom</t>
        </is>
      </c>
    </row>
    <row r="2" ht="15" customHeight="1" s="3">
      <c r="A2" s="2" t="inlineStr">
        <is>
          <t>Stage</t>
        </is>
      </c>
      <c r="B2" s="2" t="n">
        <v>23</v>
      </c>
      <c r="C2" s="2" t="n">
        <v>1</v>
      </c>
      <c r="D2" s="2" t="n">
        <v>28</v>
      </c>
    </row>
    <row r="3" ht="15" customHeight="1" s="3">
      <c r="A3" s="2" t="inlineStr">
        <is>
          <t>Pressure (psia)</t>
        </is>
      </c>
      <c r="B3" s="2" t="n">
        <v>79.7927800005627</v>
      </c>
      <c r="C3" s="2" t="n">
        <v>76.507406652575</v>
      </c>
      <c r="D3" s="2" t="n">
        <v>80.539455761469</v>
      </c>
    </row>
    <row r="4" ht="15" customHeight="1" s="3">
      <c r="A4" s="2" t="inlineStr">
        <is>
          <t>Vapour fraction</t>
        </is>
      </c>
      <c r="B4" s="2" t="n">
        <v>0.138021358049567</v>
      </c>
      <c r="C4" s="2" t="n">
        <v>0</v>
      </c>
      <c r="D4" s="2" t="n">
        <v>0</v>
      </c>
    </row>
    <row r="5" ht="15" customHeight="1" s="3">
      <c r="A5" s="2" t="inlineStr">
        <is>
          <t>Temperature (F)</t>
        </is>
      </c>
      <c r="B5" s="2" t="n">
        <v>148.73</v>
      </c>
      <c r="C5" s="2" t="n">
        <v>116.51</v>
      </c>
      <c r="D5" s="2" t="n">
        <v>198.05</v>
      </c>
    </row>
    <row r="6" ht="15" customHeight="1" s="3">
      <c r="A6" s="2" t="inlineStr">
        <is>
          <t>Total molar flow (lbmol/h)</t>
        </is>
      </c>
      <c r="B6" s="2" t="n">
        <v>1094.15420722416</v>
      </c>
      <c r="C6" s="2" t="n">
        <v>522.186914211391</v>
      </c>
      <c r="D6" s="2" t="n">
        <v>586.826449484033</v>
      </c>
    </row>
    <row r="7" ht="15" customHeight="1" s="3">
      <c r="A7" s="2" t="inlineStr">
        <is>
          <t>Mole flows (lbmol/h)</t>
        </is>
      </c>
    </row>
    <row r="8" ht="15" customHeight="1" s="3">
      <c r="A8" s="2" t="inlineStr">
        <is>
          <t>1,3-butadiene</t>
        </is>
      </c>
      <c r="B8" s="2" t="n">
        <v>260.310227440699</v>
      </c>
    </row>
    <row r="9" ht="15" customHeight="1" s="3">
      <c r="A9" s="2" t="inlineStr">
        <is>
          <t>Isobutene</t>
        </is>
      </c>
      <c r="B9" s="2" t="n">
        <v>337.185502040268</v>
      </c>
    </row>
    <row r="10" ht="15" customHeight="1" s="3">
      <c r="A10" s="2" t="inlineStr">
        <is>
          <t>N-pentane</t>
        </is>
      </c>
      <c r="B10" s="2" t="n">
        <v>108.966817497454</v>
      </c>
    </row>
    <row r="11" ht="15" customHeight="1" s="3">
      <c r="A11" s="2" t="inlineStr">
        <is>
          <t>1-pentene</t>
        </is>
      </c>
      <c r="B11" s="2" t="n">
        <v>150.19454802566</v>
      </c>
    </row>
    <row r="12" ht="15" customHeight="1" s="3">
      <c r="A12" s="2" t="inlineStr">
        <is>
          <t>1-hexene</t>
        </is>
      </c>
      <c r="B12" s="2" t="n">
        <v>97.073361264927</v>
      </c>
    </row>
    <row r="13" ht="15" customHeight="1" s="3">
      <c r="A13" s="2" t="inlineStr">
        <is>
          <t>Benzene</t>
        </is>
      </c>
      <c r="B13" s="2" t="n">
        <v>140.423750955148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1:1048576"/>
    </sheetView>
  </sheetViews>
  <sheetFormatPr baseColWidth="8" defaultColWidth="8.6796875" defaultRowHeight="15" customHeight="0" zeroHeight="0" outlineLevelRow="0"/>
  <sheetData>
    <row r="1" ht="15" customHeight="1" s="3">
      <c r="A1" s="2" t="inlineStr">
        <is>
          <t>Component Name</t>
        </is>
      </c>
    </row>
    <row r="2" ht="15" customHeight="1" s="3">
      <c r="A2" s="2" t="inlineStr">
        <is>
          <t>1,3-butadiene</t>
        </is>
      </c>
    </row>
    <row r="3" ht="15" customHeight="1" s="3">
      <c r="A3" s="2" t="inlineStr">
        <is>
          <t>Isobutene</t>
        </is>
      </c>
    </row>
    <row r="4" ht="15" customHeight="1" s="3">
      <c r="A4" s="2" t="inlineStr">
        <is>
          <t>N-pentane</t>
        </is>
      </c>
    </row>
    <row r="5" ht="15" customHeight="1" s="3">
      <c r="A5" s="2" t="inlineStr">
        <is>
          <t>1-pentene</t>
        </is>
      </c>
    </row>
    <row r="6" ht="15" customHeight="1" s="3">
      <c r="A6" s="2" t="inlineStr">
        <is>
          <t>1-hexene</t>
        </is>
      </c>
    </row>
    <row r="7" ht="15" customHeight="1" s="3">
      <c r="A7" s="2" t="inlineStr">
        <is>
          <t>Benzene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1" activeCellId="0" sqref="1:1048576"/>
    </sheetView>
  </sheetViews>
  <sheetFormatPr baseColWidth="8" defaultColWidth="11.53515625" defaultRowHeight="15" customHeight="0" zeroHeight="0" outlineLevelRow="0"/>
  <cols>
    <col width="28" customWidth="1" style="2" min="1" max="1"/>
    <col width="114.82" customWidth="1" style="2" min="2" max="2"/>
  </cols>
  <sheetData>
    <row r="1" ht="15" customHeight="1" s="3">
      <c r="A1" s="2" t="inlineStr">
        <is>
          <t>Field</t>
        </is>
      </c>
      <c r="B1" s="2" t="inlineStr">
        <is>
          <t>Value</t>
        </is>
      </c>
    </row>
    <row r="2" ht="15" customHeight="1" s="3">
      <c r="A2" s="2" t="inlineStr">
        <is>
          <t>Source</t>
        </is>
      </c>
      <c r="B2" s="2" t="inlineStr">
        <is>
          <t>Gani, Ruiz, and Cameron 1986, A generalized model for distillation columns-I, Problem II</t>
        </is>
      </c>
    </row>
    <row r="3" ht="15" customHeight="1" s="3">
      <c r="A3" s="2" t="inlineStr">
        <is>
          <t>Units</t>
        </is>
      </c>
      <c r="B3" s="2" t="inlineStr">
        <is>
          <t>Workbook values are British units: lbmol/h, Btu/h, deg F, psia, ft, ft3.</t>
        </is>
      </c>
    </row>
    <row r="4" ht="15" customHeight="1" s="3">
      <c r="A4" s="2" t="inlineStr">
        <is>
          <t>Thermo</t>
        </is>
      </c>
      <c r="B4" s="2" t="inlineStr">
        <is>
          <t>Original paper does not name the exact thermo package for Problem II; use --thermo clapeyron --clapeyron-model PR or SRK for probes.</t>
        </is>
      </c>
    </row>
    <row r="5" ht="15" customHeight="1" s="3">
      <c r="A5" s="2" t="inlineStr">
        <is>
          <t>Tray efficiency treatment</t>
        </is>
      </c>
      <c r="B5" s="2" t="inlineStr">
        <is>
          <t>Source lists 40 actual trays at 70% efficiency and 28 effective plates simulated; workbook uses 28 modeled stages.</t>
        </is>
      </c>
    </row>
    <row r="6" ht="15" customHeight="1" s="3">
      <c r="A6" s="2" t="inlineStr">
        <is>
          <t>Feed stage mapping</t>
        </is>
      </c>
      <c r="B6" s="2" t="inlineStr">
        <is>
          <t>Actual feed tray 33 scaled to effective stage 23.</t>
        </is>
      </c>
    </row>
    <row r="7" ht="15" customHeight="1" s="3">
      <c r="A7" s="2" t="inlineStr">
        <is>
          <t>Vessel sizing</t>
        </is>
      </c>
      <c r="B7" s="2" t="inlineStr">
        <is>
          <t>Top drum and bottom sump volumes are derived, not source-published.</t>
        </is>
      </c>
    </row>
    <row r="8" ht="15" customHeight="1" s="3">
      <c r="A8" s="2" t="inlineStr">
        <is>
          <t>Residence time</t>
        </is>
      </c>
      <c r="B8" s="2" t="inlineStr">
        <is>
          <t>10 min at reference distillate/bottoms product flow.</t>
        </is>
      </c>
    </row>
    <row r="9" ht="15" customHeight="1" s="3">
      <c r="A9" s="2" t="inlineStr">
        <is>
          <t>Normal liquid fraction</t>
        </is>
      </c>
      <c r="B9" s="2" t="inlineStr">
        <is>
          <t>50%.</t>
        </is>
      </c>
    </row>
    <row r="10" ht="15" customHeight="1" s="3">
      <c r="A10" s="2" t="inlineStr">
        <is>
          <t>Column active area</t>
        </is>
      </c>
      <c r="B10" s="2" t="inlineStr">
        <is>
          <t>21.06 ft2, written to geometry as fraction 0.88685</t>
        </is>
      </c>
    </row>
    <row r="11" ht="15" customHeight="1" s="3">
      <c r="A11" s="2" t="inlineStr">
        <is>
          <t>Weir height</t>
        </is>
      </c>
      <c r="B11" s="2" t="inlineStr">
        <is>
          <t>0.164 ft = 1.968 in; workbook geometry parser expects inches.</t>
        </is>
      </c>
    </row>
    <row r="12" ht="15" customHeight="1" s="3">
      <c r="A12" s="2" t="inlineStr">
        <is>
          <t>Top liquid density used</t>
        </is>
      </c>
      <c r="B12" s="2" t="inlineStr">
        <is>
          <t>35.5779 lb/ft3</t>
        </is>
      </c>
    </row>
    <row r="13" ht="15" customHeight="1" s="3">
      <c r="A13" s="2" t="inlineStr">
        <is>
          <t>Bottom liquid density used</t>
        </is>
      </c>
      <c r="B13" s="2" t="inlineStr">
        <is>
          <t>37.6527 lb/ft3</t>
        </is>
      </c>
    </row>
    <row r="14" ht="15" customHeight="1" s="3">
      <c r="A14" s="2" t="inlineStr">
        <is>
          <t>Top drum sizing model</t>
        </is>
      </c>
      <c r="B14" s="2" t="inlineStr">
        <is>
          <t>Horizontal cylinder, L/D = 3.</t>
        </is>
      </c>
    </row>
    <row r="15" ht="15" customHeight="1" s="3">
      <c r="A15" s="2" t="inlineStr">
        <is>
          <t>Bottom sump sizing model</t>
        </is>
      </c>
      <c r="B15" s="2" t="inlineStr">
        <is>
          <t>Vertical cylinder, H/D = 2.</t>
        </is>
      </c>
    </row>
    <row r="16" ht="15" customHeight="1" s="3">
      <c r="A16" s="2" t="inlineStr">
        <is>
          <t>Top liquid volume at 10 min</t>
        </is>
      </c>
      <c r="B16" s="2" t="n">
        <v>135.223738895558</v>
      </c>
    </row>
    <row r="17" ht="15" customHeight="1" s="3">
      <c r="A17" s="2" t="inlineStr">
        <is>
          <t>Top total volume</t>
        </is>
      </c>
      <c r="B17" s="2" t="n">
        <v>270.447477791116</v>
      </c>
    </row>
    <row r="18" ht="15" customHeight="1" s="3">
      <c r="A18" s="2" t="inlineStr">
        <is>
          <t>Bottom liquid volume at 10 min</t>
        </is>
      </c>
      <c r="B18" s="2" t="n">
        <v>188.069470721749</v>
      </c>
    </row>
    <row r="19" ht="15" customHeight="1" s="3">
      <c r="A19" s="2" t="inlineStr">
        <is>
          <t>Bottom total volume</t>
        </is>
      </c>
      <c r="B19" s="2" t="n">
        <v>376.138941443497</v>
      </c>
    </row>
    <row r="20" ht="15" customHeight="1" s="3">
      <c r="A20" s="2" t="inlineStr">
        <is>
          <t>Disturbance to test</t>
        </is>
      </c>
      <c r="B20" s="2" t="inlineStr">
        <is>
          <t>Increase reflux from 947.55 to 994.92 lbmol/h at constant reboiler duty after a steady-state search.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34.12723604981151</v>
      </c>
      <c r="C2" t="n">
        <v>48.55683644150701</v>
      </c>
      <c r="D2" t="n">
        <v>0.9352809463065545</v>
      </c>
      <c r="E2" t="n">
        <v>1.581956998231225</v>
      </c>
      <c r="F2" t="n">
        <v>0.477514495339292</v>
      </c>
      <c r="G2" t="n">
        <v>0.5706157766208401</v>
      </c>
    </row>
    <row r="3">
      <c r="A3" t="inlineStr">
        <is>
          <t>top_V</t>
        </is>
      </c>
      <c r="B3" t="n">
        <v>0.7978312853927038</v>
      </c>
      <c r="C3" t="n">
        <v>1.145168955144538</v>
      </c>
      <c r="D3" t="n">
        <v>0</v>
      </c>
      <c r="E3" t="n">
        <v>1.943039101319266e-05</v>
      </c>
      <c r="F3" t="n">
        <v>0</v>
      </c>
      <c r="G3" t="n">
        <v>0</v>
      </c>
    </row>
    <row r="4">
      <c r="A4" t="inlineStr">
        <is>
          <t>bottom_L</t>
        </is>
      </c>
      <c r="B4" t="n">
        <v>9.363519167944341</v>
      </c>
      <c r="C4" t="n">
        <v>7.58816402005136</v>
      </c>
      <c r="D4" t="n">
        <v>17.78438181646198</v>
      </c>
      <c r="E4" t="n">
        <v>24.2502830297743</v>
      </c>
      <c r="F4" t="n">
        <v>15.74895009861598</v>
      </c>
      <c r="G4" t="n">
        <v>22.82145750663638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-61752.46931633766</v>
      </c>
      <c r="C2" t="n">
        <v>0</v>
      </c>
    </row>
    <row r="3">
      <c r="A3" t="n">
        <v>2</v>
      </c>
      <c r="B3" t="n">
        <v>-59187.56089051371</v>
      </c>
      <c r="C3" t="n">
        <v>259.1086076063978</v>
      </c>
    </row>
    <row r="4">
      <c r="A4" t="n">
        <v>3</v>
      </c>
      <c r="B4" t="n">
        <v>-52681.438453952</v>
      </c>
      <c r="C4" t="n">
        <v>-113.7709646318402</v>
      </c>
    </row>
    <row r="5">
      <c r="A5" t="n">
        <v>4</v>
      </c>
      <c r="B5" t="n">
        <v>-44778.15113017239</v>
      </c>
      <c r="C5" t="n">
        <v>886.2353461161554</v>
      </c>
    </row>
    <row r="6">
      <c r="A6" t="n">
        <v>5</v>
      </c>
      <c r="B6" t="n">
        <v>-38300.14323090603</v>
      </c>
      <c r="C6" t="n">
        <v>-657.1174342714697</v>
      </c>
    </row>
    <row r="7">
      <c r="A7" t="n">
        <v>6</v>
      </c>
      <c r="B7" t="n">
        <v>-34346.7981886492</v>
      </c>
      <c r="C7" t="n">
        <v>1379.700897746368</v>
      </c>
    </row>
    <row r="8">
      <c r="A8" t="n">
        <v>7</v>
      </c>
      <c r="B8" t="n">
        <v>-32530.98430637426</v>
      </c>
      <c r="C8" t="n">
        <v>-3246.104250486928</v>
      </c>
    </row>
    <row r="9">
      <c r="A9" t="n">
        <v>8</v>
      </c>
      <c r="B9" t="n">
        <v>-31994.36960391925</v>
      </c>
      <c r="C9" t="n">
        <v>4778.027092171311</v>
      </c>
    </row>
    <row r="10">
      <c r="A10" t="n">
        <v>9</v>
      </c>
      <c r="B10" t="n">
        <v>-32052.93061440773</v>
      </c>
      <c r="C10" t="n">
        <v>-11720.80130797459</v>
      </c>
    </row>
    <row r="11">
      <c r="A11" t="n">
        <v>10</v>
      </c>
      <c r="B11" t="n">
        <v>-32330.41420925299</v>
      </c>
      <c r="C11" t="n">
        <v>12839.38111497708</v>
      </c>
    </row>
    <row r="12">
      <c r="A12" t="n">
        <v>11</v>
      </c>
      <c r="B12" t="n">
        <v>-32664.58972708823</v>
      </c>
      <c r="C12" t="n">
        <v>-15923.52755453181</v>
      </c>
    </row>
    <row r="13">
      <c r="A13" t="n">
        <v>12</v>
      </c>
      <c r="B13" t="n">
        <v>-32997.89929425601</v>
      </c>
      <c r="C13" t="n">
        <v>17175.65595894983</v>
      </c>
    </row>
    <row r="14">
      <c r="A14" t="n">
        <v>13</v>
      </c>
      <c r="B14" t="n">
        <v>-33313.43006635768</v>
      </c>
      <c r="C14" t="n">
        <v>-17782.44246581285</v>
      </c>
    </row>
    <row r="15">
      <c r="A15" t="n">
        <v>14</v>
      </c>
      <c r="B15" t="n">
        <v>-33607.44991873866</v>
      </c>
      <c r="C15" t="n">
        <v>17713.61384463961</v>
      </c>
    </row>
    <row r="16">
      <c r="A16" t="n">
        <v>15</v>
      </c>
      <c r="B16" t="n">
        <v>-33879.87844953447</v>
      </c>
      <c r="C16" t="n">
        <v>-14356.03210485096</v>
      </c>
    </row>
    <row r="17">
      <c r="A17" t="n">
        <v>16</v>
      </c>
      <c r="B17" t="n">
        <v>-34131.48802640106</v>
      </c>
      <c r="C17" t="n">
        <v>12991.15835143213</v>
      </c>
    </row>
    <row r="18">
      <c r="A18" t="n">
        <v>17</v>
      </c>
      <c r="B18" t="n">
        <v>-34363.18819023074</v>
      </c>
      <c r="C18" t="n">
        <v>-11281.31985174862</v>
      </c>
    </row>
    <row r="19">
      <c r="A19" t="n">
        <v>18</v>
      </c>
      <c r="B19" t="n">
        <v>-34575.86259360831</v>
      </c>
      <c r="C19" t="n">
        <v>11346.86334559358</v>
      </c>
    </row>
    <row r="20">
      <c r="A20" t="n">
        <v>19</v>
      </c>
      <c r="B20" t="n">
        <v>-34770.33442462069</v>
      </c>
      <c r="C20" t="n">
        <v>-5482.723530051955</v>
      </c>
    </row>
    <row r="21">
      <c r="A21" t="n">
        <v>20</v>
      </c>
      <c r="B21" t="n">
        <v>-34947.35824069617</v>
      </c>
      <c r="C21" t="n">
        <v>43.31314111479105</v>
      </c>
    </row>
    <row r="22">
      <c r="A22" t="n">
        <v>21</v>
      </c>
      <c r="B22" t="n">
        <v>-35107.61613926756</v>
      </c>
      <c r="C22" t="n">
        <v>-3412.213144205804</v>
      </c>
    </row>
    <row r="23">
      <c r="A23" t="n">
        <v>22</v>
      </c>
      <c r="B23" t="n">
        <v>-35251.71354349592</v>
      </c>
      <c r="C23" t="n">
        <v>39491.11143695192</v>
      </c>
    </row>
    <row r="24">
      <c r="A24" t="n">
        <v>23</v>
      </c>
      <c r="B24" t="n">
        <v>-51991.28334022427</v>
      </c>
      <c r="C24" t="n">
        <v>-82268.2976933326</v>
      </c>
    </row>
    <row r="25">
      <c r="A25" t="n">
        <v>24</v>
      </c>
      <c r="B25" t="n">
        <v>-34620.13124842385</v>
      </c>
      <c r="C25" t="n">
        <v>46508.15715095309</v>
      </c>
    </row>
    <row r="26">
      <c r="A26" t="n">
        <v>25</v>
      </c>
      <c r="B26" t="n">
        <v>-34677.46577622664</v>
      </c>
      <c r="C26" t="n">
        <v>-7.901228303972955e-05</v>
      </c>
    </row>
    <row r="27">
      <c r="A27" t="n">
        <v>26</v>
      </c>
      <c r="B27" t="n">
        <v>-34772.28665031154</v>
      </c>
      <c r="C27" t="n">
        <v>-2.311204946012283e-05</v>
      </c>
    </row>
    <row r="28">
      <c r="A28" t="n">
        <v>27</v>
      </c>
      <c r="B28" t="n">
        <v>-34914.47363014817</v>
      </c>
      <c r="C28" t="n">
        <v>-3.409894399839875e-13</v>
      </c>
    </row>
    <row r="29">
      <c r="A29" t="n">
        <v>28</v>
      </c>
      <c r="B29" t="n">
        <v>151509526.4239058</v>
      </c>
      <c r="C29" t="n">
        <v>1.157190541778722e-21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80.292678384176</v>
      </c>
      <c r="C2" t="n">
        <v>116.51</v>
      </c>
    </row>
    <row r="3">
      <c r="A3" t="n">
        <v>2</v>
      </c>
      <c r="B3" t="n">
        <v>80.29351926719492</v>
      </c>
      <c r="C3" t="n">
        <v>109.8390410968917</v>
      </c>
    </row>
    <row r="4">
      <c r="A4" t="n">
        <v>3</v>
      </c>
      <c r="B4" t="n">
        <v>80.29437223048284</v>
      </c>
      <c r="C4" t="n">
        <v>141.7319939060291</v>
      </c>
    </row>
    <row r="5">
      <c r="A5" t="n">
        <v>4</v>
      </c>
      <c r="B5" t="n">
        <v>80.29522966083795</v>
      </c>
      <c r="C5" t="n">
        <v>147.149329752136</v>
      </c>
    </row>
    <row r="6">
      <c r="A6" t="n">
        <v>5</v>
      </c>
      <c r="B6" t="n">
        <v>80.29609246783171</v>
      </c>
      <c r="C6" t="n">
        <v>160.7176120010522</v>
      </c>
    </row>
    <row r="7">
      <c r="A7" t="n">
        <v>6</v>
      </c>
      <c r="B7" t="n">
        <v>80.29696407330093</v>
      </c>
      <c r="C7" t="n">
        <v>139.0542138369398</v>
      </c>
    </row>
    <row r="8">
      <c r="A8" t="n">
        <v>7</v>
      </c>
      <c r="B8" t="n">
        <v>80.29785365195379</v>
      </c>
      <c r="C8" t="n">
        <v>172.0175888016028</v>
      </c>
    </row>
    <row r="9">
      <c r="A9" t="n">
        <v>8</v>
      </c>
      <c r="B9" t="n">
        <v>80.29874494788504</v>
      </c>
      <c r="C9" t="n">
        <v>146.8198072792748</v>
      </c>
    </row>
    <row r="10">
      <c r="A10" t="n">
        <v>9</v>
      </c>
      <c r="B10" t="n">
        <v>80.29966398285475</v>
      </c>
      <c r="C10" t="n">
        <v>181.8643126139755</v>
      </c>
    </row>
    <row r="11">
      <c r="A11" t="n">
        <v>10</v>
      </c>
      <c r="B11" t="n">
        <v>80.30057398296441</v>
      </c>
      <c r="C11" t="n">
        <v>150.0587903579723</v>
      </c>
    </row>
    <row r="12">
      <c r="A12" t="n">
        <v>11</v>
      </c>
      <c r="B12" t="n">
        <v>80.30148773842353</v>
      </c>
      <c r="C12" t="n">
        <v>158.5144345534965</v>
      </c>
    </row>
    <row r="13">
      <c r="A13" t="n">
        <v>12</v>
      </c>
      <c r="B13" t="n">
        <v>80.30240856396848</v>
      </c>
      <c r="C13" t="n">
        <v>149.0776046070067</v>
      </c>
    </row>
    <row r="14">
      <c r="A14" t="n">
        <v>13</v>
      </c>
      <c r="B14" t="n">
        <v>80.30332520219287</v>
      </c>
      <c r="C14" t="n">
        <v>158.7228011122864</v>
      </c>
    </row>
    <row r="15">
      <c r="A15" t="n">
        <v>14</v>
      </c>
      <c r="B15" t="n">
        <v>80.30424576120808</v>
      </c>
      <c r="C15" t="n">
        <v>160.5198809838134</v>
      </c>
    </row>
    <row r="16">
      <c r="A16" t="n">
        <v>15</v>
      </c>
      <c r="B16" t="n">
        <v>80.30516065334062</v>
      </c>
      <c r="C16" t="n">
        <v>160.386595055411</v>
      </c>
    </row>
    <row r="17">
      <c r="A17" t="n">
        <v>16</v>
      </c>
      <c r="B17" t="n">
        <v>80.30607009383968</v>
      </c>
      <c r="C17" t="n">
        <v>158.9471349394179</v>
      </c>
    </row>
    <row r="18">
      <c r="A18" t="n">
        <v>17</v>
      </c>
      <c r="B18" t="n">
        <v>80.30696622042713</v>
      </c>
      <c r="C18" t="n">
        <v>152.5513488325163</v>
      </c>
    </row>
    <row r="19">
      <c r="A19" t="n">
        <v>18</v>
      </c>
      <c r="B19" t="n">
        <v>80.3078457443402</v>
      </c>
      <c r="C19" t="n">
        <v>147.159739070284</v>
      </c>
    </row>
    <row r="20">
      <c r="A20" t="n">
        <v>19</v>
      </c>
      <c r="B20" t="n">
        <v>80.30870944610764</v>
      </c>
      <c r="C20" t="n">
        <v>147.1511416390958</v>
      </c>
    </row>
    <row r="21">
      <c r="A21" t="n">
        <v>20</v>
      </c>
      <c r="B21" t="n">
        <v>80.30957753708667</v>
      </c>
      <c r="C21" t="n">
        <v>250.3422480459556</v>
      </c>
    </row>
    <row r="22">
      <c r="A22" t="n">
        <v>21</v>
      </c>
      <c r="B22" t="n">
        <v>80.31051481222374</v>
      </c>
      <c r="C22" t="n">
        <v>1634.334725788085</v>
      </c>
    </row>
    <row r="23">
      <c r="A23" t="n">
        <v>22</v>
      </c>
      <c r="B23" t="n">
        <v>80.312012506695</v>
      </c>
      <c r="C23" t="n">
        <v>8360.899065334503</v>
      </c>
    </row>
    <row r="24">
      <c r="A24" t="n">
        <v>23</v>
      </c>
      <c r="B24" t="n">
        <v>80.31529099463231</v>
      </c>
      <c r="C24" t="n">
        <v>22442.06888050366</v>
      </c>
    </row>
    <row r="25">
      <c r="A25" t="n">
        <v>24</v>
      </c>
      <c r="B25" t="n">
        <v>80.32136490055278</v>
      </c>
      <c r="C25" t="n">
        <v>75266.48797757459</v>
      </c>
    </row>
    <row r="26">
      <c r="A26" t="n">
        <v>25</v>
      </c>
      <c r="B26" t="n">
        <v>80.34069855863717</v>
      </c>
      <c r="C26" t="n">
        <v>216174.4547319137</v>
      </c>
    </row>
    <row r="27">
      <c r="A27" t="n">
        <v>26</v>
      </c>
      <c r="B27" t="n">
        <v>80.39905889411722</v>
      </c>
      <c r="C27" t="n">
        <v>530248.8007072927</v>
      </c>
    </row>
    <row r="28">
      <c r="A28" t="n">
        <v>27</v>
      </c>
      <c r="B28" t="n">
        <v>80.539455761469</v>
      </c>
      <c r="C28" t="n">
        <v>1126746.9141592</v>
      </c>
    </row>
    <row r="29">
      <c r="A29" t="n">
        <v>28</v>
      </c>
      <c r="B29" t="n">
        <v>80.539455761469</v>
      </c>
      <c r="C29" t="n">
        <v>2145813.21378273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203.6085401203845</v>
      </c>
    </row>
    <row r="4">
      <c r="A4" t="inlineStr">
        <is>
          <t>top_drum_pressure_T_prev_F</t>
        </is>
      </c>
      <c r="B4" t="n">
        <v>116.51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2026-05-25T20:57:33Z</dcterms:created>
  <dcterms:modified xsi:type="dcterms:W3CDTF">2026-05-25T21:04:53Z</dcterms:modified>
  <cp:revision>1</cp:revision>
</cp:coreProperties>
</file>