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Boundary State" sheetId="6" state="visible" r:id="rId6"/>
    <sheet xmlns:r="http://schemas.openxmlformats.org/officeDocument/2006/relationships" name="Energy State" sheetId="7" state="visible" r:id="rId7"/>
    <sheet xmlns:r="http://schemas.openxmlformats.org/officeDocument/2006/relationships" name="Dynamic Memory" sheetId="8" state="visible" r:id="rId8"/>
    <sheet xmlns:r="http://schemas.openxmlformats.org/officeDocument/2006/relationships" name="Controller Stat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42" activeCellId="0" sqref="A42"/>
    </sheetView>
  </sheetViews>
  <sheetFormatPr baseColWidth="8" defaultColWidth="11.53515625" defaultRowHeight="15" customHeight="0" zeroHeight="0" outlineLevelRow="0"/>
  <cols>
    <col width="141.4" customWidth="1" style="3" min="1" max="1"/>
    <col width="93.12" customWidth="1" style="3" min="2" max="2"/>
    <col width="18.82" customWidth="1" style="3" min="3" max="3"/>
    <col width="15.06" customWidth="1" style="3" min="4" max="4"/>
    <col width="16.18" customWidth="1" style="3" min="5" max="5"/>
    <col width="14.65" customWidth="1" style="3" min="6" max="7"/>
    <col width="18.26" customWidth="1" style="3" min="8" max="8"/>
  </cols>
  <sheetData>
    <row r="1" ht="15" customHeight="1" s="4">
      <c r="A1" s="3" t="inlineStr">
        <is>
          <t>Parameter</t>
        </is>
      </c>
      <c r="B1" s="3" t="inlineStr">
        <is>
          <t>Value</t>
        </is>
      </c>
    </row>
    <row r="2" ht="15" customHeight="1" s="4">
      <c r="A2" s="3" t="inlineStr">
        <is>
          <t>Number of Stages</t>
        </is>
      </c>
      <c r="B2" s="3" t="n">
        <v>10</v>
      </c>
    </row>
    <row r="3" ht="15" customHeight="1" s="4">
      <c r="A3" s="3" t="inlineStr">
        <is>
          <t>Number of Components</t>
        </is>
      </c>
      <c r="B3" s="3" t="n">
        <v>2</v>
      </c>
    </row>
    <row r="4" ht="15" customHeight="1" s="4">
      <c r="A4" s="3" t="inlineStr">
        <is>
          <t>Condenser Type</t>
        </is>
      </c>
      <c r="B4" s="3" t="inlineStr">
        <is>
          <t>Total</t>
        </is>
      </c>
    </row>
    <row r="5" ht="15" customHeight="1" s="4">
      <c r="B5" s="3" t="inlineStr">
        <is>
          <t>Component 1</t>
        </is>
      </c>
      <c r="C5" s="3" t="inlineStr">
        <is>
          <t>Component 2</t>
        </is>
      </c>
    </row>
    <row r="6" ht="15" customHeight="1" s="4">
      <c r="A6" s="3" t="inlineStr">
        <is>
          <t>Component Name</t>
        </is>
      </c>
      <c r="B6" s="3" t="inlineStr">
        <is>
          <t>Water</t>
        </is>
      </c>
      <c r="C6" s="3" t="inlineStr">
        <is>
          <t>Methanol</t>
        </is>
      </c>
    </row>
    <row r="7" ht="15" customHeight="1" s="4">
      <c r="A7" s="3" t="inlineStr">
        <is>
          <t>Condenser Duty Mode</t>
        </is>
      </c>
      <c r="B7" s="3" t="inlineStr">
        <is>
          <t>specified</t>
        </is>
      </c>
    </row>
    <row r="8" ht="15" customHeight="1" s="4">
      <c r="A8" s="3" t="inlineStr">
        <is>
          <t>Condenser Duty (Btu/h)</t>
        </is>
      </c>
      <c r="B8" s="3" t="n">
        <v>-364900000</v>
      </c>
    </row>
    <row r="9" ht="15" customHeight="1" s="4">
      <c r="A9" s="3" t="inlineStr">
        <is>
          <t>Reboiler Duty (Btu/h)</t>
        </is>
      </c>
      <c r="B9" s="3" t="n">
        <v>368680000</v>
      </c>
    </row>
    <row r="10" ht="15" customHeight="1" s="4">
      <c r="A10" s="3" t="inlineStr">
        <is>
          <t>Runtime Mode</t>
        </is>
      </c>
      <c r="B10" s="3" t="inlineStr">
        <is>
          <t>parity</t>
        </is>
      </c>
    </row>
    <row r="11" ht="15" customHeight="1" s="4">
      <c r="A11" s="3" t="inlineStr">
        <is>
          <t>Pressure Model</t>
        </is>
      </c>
      <c r="B11" s="3" t="inlineStr">
        <is>
          <t>Hydraulic</t>
        </is>
      </c>
    </row>
    <row r="12" ht="15" customHeight="1" s="4">
      <c r="A12" s="3" t="inlineStr">
        <is>
          <t>Vapor Flow Model</t>
        </is>
      </c>
      <c r="B12" s="3" t="inlineStr">
        <is>
          <t>energy</t>
        </is>
      </c>
    </row>
    <row r="13" ht="15" customHeight="1" s="4">
      <c r="A13" s="3" t="inlineStr">
        <is>
          <t>Include Energy</t>
        </is>
      </c>
      <c r="B13" s="3">
        <f>TRUE()</f>
        <v/>
      </c>
    </row>
    <row r="14" ht="15" customHeight="1" s="4">
      <c r="A14" s="3" t="inlineStr">
        <is>
          <t>Simulation Length (min)</t>
        </is>
      </c>
      <c r="B14" s="3" t="n">
        <v>10</v>
      </c>
    </row>
    <row r="15" ht="15" customHeight="1" s="4">
      <c r="A15" s="3" t="inlineStr">
        <is>
          <t>Timestep (sec)</t>
        </is>
      </c>
      <c r="B15" s="3" t="n">
        <v>0.2</v>
      </c>
    </row>
    <row r="16" ht="15" customHeight="1" s="4">
      <c r="A16" s="3" t="inlineStr">
        <is>
          <t>Log Frequency (timesteps)</t>
        </is>
      </c>
      <c r="B16" s="3" t="n">
        <v>10</v>
      </c>
    </row>
    <row r="17" ht="15" customHeight="1" s="4">
      <c r="A17" s="3" t="inlineStr">
        <is>
          <t>Stage time constant [tau] (sec)</t>
        </is>
      </c>
      <c r="B17" s="3" t="n">
        <v>4</v>
      </c>
    </row>
    <row r="18" ht="15" customHeight="1" s="4">
      <c r="A18" s="3" t="inlineStr">
        <is>
          <t>Thermo Mode</t>
        </is>
      </c>
      <c r="B18" s="3" t="inlineStr">
        <is>
          <t>dwsim</t>
        </is>
      </c>
    </row>
    <row r="19" ht="15" customHeight="1" s="4">
      <c r="A19" s="3" t="inlineStr">
        <is>
          <t>Source ChemSep Workbook</t>
        </is>
      </c>
      <c r="B19" s="3" t="inlineStr">
        <is>
          <t>C:\Users\Thomas Zvolensky\Documents\Python Scripts\Dynamic_DistillationII\water-methanol-ChemSep.xls</t>
        </is>
      </c>
    </row>
    <row r="20" ht="15" customHeight="1" s="4">
      <c r="A20" s="3" t="inlineStr">
        <is>
          <t>Source Notes</t>
        </is>
      </c>
      <c r="B20" s="3" t="inlineStr">
        <is>
          <t>ChemSep Excess Enthalpy seed; pressure overridden linearly for dynamic initialization.</t>
        </is>
      </c>
    </row>
    <row r="21" ht="15" customHeight="1" s="4">
      <c r="A21" s="3" t="inlineStr">
        <is>
          <t>Top Accumulator Holdup (lbmol)</t>
        </is>
      </c>
      <c r="B21" s="3" t="n">
        <v>3968.32333333333</v>
      </c>
    </row>
    <row r="22" ht="15" customHeight="1" s="4">
      <c r="A22" s="3" t="inlineStr">
        <is>
          <t>Bottom Holdup (lbmol)</t>
        </is>
      </c>
      <c r="B22" s="3" t="n">
        <v>3081.51625787747</v>
      </c>
    </row>
    <row r="23" ht="15" customHeight="1" s="4">
      <c r="A23" s="3" t="inlineStr">
        <is>
          <t>Overhead Vapor Line Volume (ft3)</t>
        </is>
      </c>
      <c r="B23" s="3" t="n">
        <v>56</v>
      </c>
    </row>
    <row r="24" ht="15" customHeight="1" s="4">
      <c r="A24" s="3" t="inlineStr">
        <is>
          <t>Condenser Vapor Volume (ft3)</t>
        </is>
      </c>
      <c r="B24" s="3" t="n">
        <v>100</v>
      </c>
    </row>
    <row r="26" ht="15" customHeight="1" s="4">
      <c r="A26" s="3" t="inlineStr">
        <is>
          <t>Stage Geometry</t>
        </is>
      </c>
    </row>
    <row r="27" ht="15" customHeight="1" s="4">
      <c r="A27" s="3" t="inlineStr">
        <is>
          <t>Start Stage</t>
        </is>
      </c>
      <c r="B27" s="3" t="inlineStr">
        <is>
          <t>End Stage</t>
        </is>
      </c>
      <c r="C27" s="3" t="inlineStr">
        <is>
          <t>Diameter (ft)</t>
        </is>
      </c>
      <c r="D27" s="3" t="inlineStr">
        <is>
          <t>Tray Spacing (ft)</t>
        </is>
      </c>
      <c r="E27" s="3" t="inlineStr">
        <is>
          <t>Gas Void Fraction</t>
        </is>
      </c>
      <c r="F27" s="3" t="inlineStr">
        <is>
          <t>Weir Height (in)</t>
        </is>
      </c>
      <c r="G27" s="3" t="inlineStr">
        <is>
          <t>Weir Length (ft)</t>
        </is>
      </c>
      <c r="H27" s="3" t="inlineStr">
        <is>
          <t>Active Area Fraction</t>
        </is>
      </c>
    </row>
    <row r="28" ht="15" customHeight="1" s="4">
      <c r="A28" s="3" t="n">
        <v>2</v>
      </c>
      <c r="B28" s="3" t="n">
        <v>9</v>
      </c>
      <c r="C28" s="3" t="n">
        <v>20.3333333333333</v>
      </c>
      <c r="D28" s="3" t="n">
        <v>2</v>
      </c>
      <c r="E28" s="3" t="n">
        <v>0.75</v>
      </c>
      <c r="F28" s="3" t="n">
        <v>2</v>
      </c>
      <c r="G28" s="3" t="n">
        <v>15</v>
      </c>
      <c r="H28" s="3" t="n">
        <v>0.8</v>
      </c>
    </row>
    <row r="30" ht="15" customHeight="1" s="4">
      <c r="A30" s="3" t="inlineStr">
        <is>
          <t>Geometry Notes</t>
        </is>
      </c>
    </row>
    <row r="31" ht="15" customHeight="1" s="4">
      <c r="A31" s="3" t="inlineStr">
        <is>
          <t>Uniform internal-tray geometry for stages 2-9.</t>
        </is>
      </c>
    </row>
    <row r="32" ht="15" customHeight="1" s="4">
      <c r="A32" s="3" t="inlineStr">
        <is>
          <t>First-pass assumptions copied from the 18-stage water-methanol companion case: 20 ft 4 in diameter, 2 ft spacing, 2 in weir, 15 ft weir length, 0.80 active area fraction.</t>
        </is>
      </c>
    </row>
    <row r="33" ht="15" customHeight="1" s="4">
      <c r="A33" s="3" t="inlineStr">
        <is>
          <t>Condenser Pressure Drop (psi)</t>
        </is>
      </c>
      <c r="B33" s="3" t="n">
        <v>0.333333333333333</v>
      </c>
    </row>
    <row r="34" ht="15" customHeight="1" s="4">
      <c r="A34" s="3" t="inlineStr">
        <is>
          <t>Equilibrium Relaxation Mode</t>
        </is>
      </c>
      <c r="B34" s="3" t="inlineStr">
        <is>
          <t>composition-only</t>
        </is>
      </c>
    </row>
    <row r="35" ht="15" customHeight="1" s="4">
      <c r="A35" s="3" t="inlineStr">
        <is>
          <t>Equilibrium Tau (sec)</t>
        </is>
      </c>
      <c r="B35" s="3" t="n">
        <v>4</v>
      </c>
    </row>
    <row r="36" ht="15" customHeight="1" s="4">
      <c r="A36" s="3" t="inlineStr">
        <is>
          <t>Equilibrium Energy Damping Gain</t>
        </is>
      </c>
      <c r="B36" s="3" t="n">
        <v>0.2</v>
      </c>
    </row>
    <row r="37" ht="15" customHeight="1" s="4">
      <c r="A37" s="3" t="inlineStr">
        <is>
          <t>Equilibrium Relaxation Live PR</t>
        </is>
      </c>
      <c r="B37" s="3">
        <f>TRUE()</f>
        <v/>
      </c>
    </row>
    <row r="38" ht="15" customHeight="1" s="4">
      <c r="A38" s="3" t="inlineStr">
        <is>
          <t>Vapor Holdup Relaxation (sec)</t>
        </is>
      </c>
      <c r="B38" s="3" t="n">
        <v>0</v>
      </c>
    </row>
    <row r="39" ht="15" customHeight="1" s="4">
      <c r="A39" s="3" t="inlineStr">
        <is>
          <t>Top Drum Total Volume (ft3)</t>
        </is>
      </c>
      <c r="B39" s="3" t="n">
        <v>5333.81183809974</v>
      </c>
    </row>
    <row r="40" ht="15" customHeight="1" s="4">
      <c r="A40" s="3" t="inlineStr">
        <is>
          <t>Top Drum Diameter (ft)</t>
        </is>
      </c>
      <c r="B40" s="3" t="n">
        <v>12.2807660959617</v>
      </c>
    </row>
    <row r="41" ht="15" customHeight="1" s="4">
      <c r="A41" s="3" t="inlineStr">
        <is>
          <t>Top Drum Length (ft)</t>
        </is>
      </c>
      <c r="B41" s="3" t="n">
        <v>36.8422982878851</v>
      </c>
    </row>
    <row r="42" ht="15" customHeight="1" s="4">
      <c r="A42" s="3" t="inlineStr">
        <is>
          <t>Top Drum Liquid Fraction</t>
        </is>
      </c>
      <c r="B42" s="3" t="n">
        <v>0.5</v>
      </c>
    </row>
    <row r="43" ht="15" customHeight="1" s="4">
      <c r="A43" s="3" t="inlineStr">
        <is>
          <t>Bottom Sump Total Volume (ft3)</t>
        </is>
      </c>
      <c r="B43" s="3" t="n">
        <v>1948.31104400126</v>
      </c>
    </row>
    <row r="44" ht="15" customHeight="1" s="4">
      <c r="A44" s="3" t="inlineStr">
        <is>
          <t>Bottom Sump Diameter (ft)</t>
        </is>
      </c>
      <c r="B44" s="3" t="n">
        <v>20.3333333333333</v>
      </c>
    </row>
    <row r="45" ht="15" customHeight="1" s="4">
      <c r="A45" s="3" t="inlineStr">
        <is>
          <t>Bottom Sump Height (ft)</t>
        </is>
      </c>
      <c r="B45" s="3" t="n">
        <v>6</v>
      </c>
    </row>
    <row r="46" ht="15" customHeight="1" s="4">
      <c r="A46" s="3" t="inlineStr">
        <is>
          <t>Bottom Sump Liquid Fraction</t>
        </is>
      </c>
      <c r="B46" s="3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2" activeCellId="0" sqref="E12"/>
    </sheetView>
  </sheetViews>
  <sheetFormatPr baseColWidth="8" defaultColWidth="8.6796875" defaultRowHeight="15" customHeight="0" zeroHeight="0" outlineLevelRow="0"/>
  <cols>
    <col width="5.86" customWidth="1" style="3" min="1" max="1"/>
    <col width="15.57" customWidth="1" style="3" min="2" max="2"/>
    <col width="14.29" customWidth="1" style="3" min="3" max="3"/>
    <col width="20.29" customWidth="1" style="3" min="4" max="4"/>
    <col width="20.42" customWidth="1" style="3" min="5" max="5"/>
    <col width="31" customWidth="1" style="3" min="6" max="7"/>
    <col width="31.16" customWidth="1" style="3" min="8" max="9"/>
  </cols>
  <sheetData>
    <row r="1" ht="15" customHeight="1" s="4">
      <c r="A1" s="3" t="inlineStr">
        <is>
          <t>Stage</t>
        </is>
      </c>
      <c r="B1" s="3" t="inlineStr">
        <is>
          <t>Temperature (F)</t>
        </is>
      </c>
      <c r="C1" s="3" t="inlineStr">
        <is>
          <t>Pressure (psia)</t>
        </is>
      </c>
      <c r="D1" s="3" t="inlineStr">
        <is>
          <t>Vapor Flow (lbmol/h)</t>
        </is>
      </c>
      <c r="E1" s="3" t="inlineStr">
        <is>
          <t>Liquid Flow (lbmol/h)</t>
        </is>
      </c>
      <c r="F1" s="3" t="inlineStr">
        <is>
          <t>Vapor Composition Component 1</t>
        </is>
      </c>
      <c r="G1" s="3" t="inlineStr">
        <is>
          <t>Vapor Composition Component 2</t>
        </is>
      </c>
      <c r="H1" s="3" t="inlineStr">
        <is>
          <t>Liquid Composition Component 1</t>
        </is>
      </c>
      <c r="I1" s="3" t="inlineStr">
        <is>
          <t>Liquid Composition Component 2</t>
        </is>
      </c>
      <c r="J1" s="3" t="inlineStr">
        <is>
          <t>Liquid Holdup (lbmol)</t>
        </is>
      </c>
      <c r="K1" s="3" t="inlineStr">
        <is>
          <t>Vapor Holdup (lbmol)</t>
        </is>
      </c>
    </row>
    <row r="2" ht="15" customHeight="1" s="4">
      <c r="A2" s="3" t="n">
        <v>1</v>
      </c>
      <c r="B2" s="3" t="n">
        <v>142.1970000000001</v>
      </c>
      <c r="C2" s="3" t="n">
        <v>14.7</v>
      </c>
      <c r="D2" s="3" t="n">
        <v>0</v>
      </c>
      <c r="E2" s="3" t="n">
        <v>15873.3</v>
      </c>
      <c r="F2" s="3" t="n">
        <v>0.103076025249798</v>
      </c>
      <c r="G2" s="3" t="n">
        <v>0.896923974750202</v>
      </c>
      <c r="H2" s="3" t="n">
        <v>0.103076025249798</v>
      </c>
      <c r="I2" s="3" t="n">
        <v>0.8969239747502019</v>
      </c>
      <c r="J2" s="3" t="n">
        <v>9.370282327836317e-15</v>
      </c>
      <c r="K2" s="3" t="n">
        <v>0</v>
      </c>
    </row>
    <row r="3" ht="15" customHeight="1" s="4">
      <c r="A3" s="3" t="n">
        <v>2</v>
      </c>
      <c r="B3" s="3" t="n">
        <v>150.2239999999889</v>
      </c>
      <c r="C3" s="3" t="n">
        <v>15.03333333333333</v>
      </c>
      <c r="D3" s="3" t="n">
        <v>23102.59808734878</v>
      </c>
      <c r="E3" s="3" t="n">
        <v>15733.8</v>
      </c>
      <c r="F3" s="3" t="n">
        <v>0.103076025249798</v>
      </c>
      <c r="G3" s="3" t="n">
        <v>0.896923974750202</v>
      </c>
      <c r="H3" s="3" t="n">
        <v>0.1000233169506195</v>
      </c>
      <c r="I3" s="3" t="n">
        <v>0.8999766830493805</v>
      </c>
      <c r="J3" s="3" t="n">
        <v>124.0220701056226</v>
      </c>
      <c r="K3" s="3" t="n">
        <v>15.68619585018754</v>
      </c>
    </row>
    <row r="4" ht="15" customHeight="1" s="4">
      <c r="A4" s="3" t="n">
        <v>3</v>
      </c>
      <c r="B4" s="3" t="n">
        <v>152.078</v>
      </c>
      <c r="C4" s="3" t="n">
        <v>15.36559931671807</v>
      </c>
      <c r="D4" s="3" t="n">
        <v>23183.4124817186</v>
      </c>
      <c r="E4" s="3" t="n">
        <v>15517.3</v>
      </c>
      <c r="F4" s="3" t="n">
        <v>0.1416165185159605</v>
      </c>
      <c r="G4" s="3" t="n">
        <v>0.8583834814840395</v>
      </c>
      <c r="H4" s="3" t="n">
        <v>0.1659588437227621</v>
      </c>
      <c r="I4" s="3" t="n">
        <v>0.8340411562772378</v>
      </c>
      <c r="J4" s="3" t="n">
        <v>125.7007091686764</v>
      </c>
      <c r="K4" s="3" t="n">
        <v>15.07820041079958</v>
      </c>
    </row>
    <row r="5" ht="15" customHeight="1" s="4">
      <c r="A5" s="3" t="n">
        <v>4</v>
      </c>
      <c r="B5" s="3" t="n">
        <v>155.138</v>
      </c>
      <c r="C5" s="3" t="n">
        <v>15.67951045754262</v>
      </c>
      <c r="D5" s="3" t="n">
        <v>23040.58028041551</v>
      </c>
      <c r="E5" s="3" t="n">
        <v>15193.1</v>
      </c>
      <c r="F5" s="3" t="n">
        <v>0.1877324136234211</v>
      </c>
      <c r="G5" s="3" t="n">
        <v>0.8122675863765789</v>
      </c>
      <c r="H5" s="3" t="n">
        <v>0.2451431017289656</v>
      </c>
      <c r="I5" s="3" t="n">
        <v>0.7548568982710343</v>
      </c>
      <c r="J5" s="3" t="n">
        <v>127.6821442584294</v>
      </c>
      <c r="K5" s="3" t="n">
        <v>14.98010868394247</v>
      </c>
    </row>
    <row r="6" ht="15" customHeight="1" s="4">
      <c r="A6" s="3" t="n">
        <v>5</v>
      </c>
      <c r="B6" s="3" t="n">
        <v>160.052</v>
      </c>
      <c r="C6" s="3" t="n">
        <v>15.98514776436893</v>
      </c>
      <c r="D6" s="3" t="n">
        <v>22850.07347693647</v>
      </c>
      <c r="E6" s="3" t="n">
        <v>14746.9</v>
      </c>
      <c r="F6" s="3" t="n">
        <v>0.2428610072035206</v>
      </c>
      <c r="G6" s="3" t="n">
        <v>0.7571389927964794</v>
      </c>
      <c r="H6" s="3" t="n">
        <v>0.3408573695349981</v>
      </c>
      <c r="I6" s="3" t="n">
        <v>0.659142630465002</v>
      </c>
      <c r="J6" s="3" t="n">
        <v>133.4533897788304</v>
      </c>
      <c r="K6" s="3" t="n">
        <v>14.93223094537174</v>
      </c>
    </row>
    <row r="7" ht="15" customHeight="1" s="4">
      <c r="A7" s="3" t="n">
        <v>6</v>
      </c>
      <c r="B7" s="3" t="n">
        <v>167.558</v>
      </c>
      <c r="C7" s="3" t="n">
        <v>16.24901395305479</v>
      </c>
      <c r="D7" s="3" t="n">
        <v>22643.43462397465</v>
      </c>
      <c r="E7" s="3" t="n">
        <v>14249.7</v>
      </c>
      <c r="F7" s="3" t="n">
        <v>0.3081163462317011</v>
      </c>
      <c r="G7" s="3" t="n">
        <v>0.691883653768299</v>
      </c>
      <c r="H7" s="3" t="n">
        <v>0.4497934181509991</v>
      </c>
      <c r="I7" s="3" t="n">
        <v>0.550206581849001</v>
      </c>
      <c r="J7" s="3" t="n">
        <v>134.5555244300366</v>
      </c>
      <c r="K7" s="3" t="n">
        <v>14.76219442525542</v>
      </c>
    </row>
    <row r="8" ht="15" customHeight="1" s="4">
      <c r="A8" s="3" t="n">
        <v>7</v>
      </c>
      <c r="B8" s="3" t="n">
        <v>176.9</v>
      </c>
      <c r="C8" s="3" t="n">
        <v>16.50057434790488</v>
      </c>
      <c r="D8" s="3" t="n">
        <v>22351.55774233938</v>
      </c>
      <c r="E8" s="3" t="n">
        <v>13903.4</v>
      </c>
      <c r="F8" s="3" t="n">
        <v>0.3765527882181937</v>
      </c>
      <c r="G8" s="3" t="n">
        <v>0.6234472117818063</v>
      </c>
      <c r="H8" s="3" t="n">
        <v>0.5356463896729654</v>
      </c>
      <c r="I8" s="3" t="n">
        <v>0.4643536103270347</v>
      </c>
      <c r="J8" s="3" t="n">
        <v>143.8583380335047</v>
      </c>
      <c r="K8" s="3" t="n">
        <v>14.2022772469254</v>
      </c>
    </row>
    <row r="9" ht="15" customHeight="1" s="4">
      <c r="A9" s="3" t="n">
        <v>8</v>
      </c>
      <c r="B9" s="3" t="n">
        <v>184.37</v>
      </c>
      <c r="C9" s="3" t="n">
        <v>17.02996604600792</v>
      </c>
      <c r="D9" s="3" t="n">
        <v>21853.31570821329</v>
      </c>
      <c r="E9" s="3" t="n">
        <v>28948.7</v>
      </c>
      <c r="F9" s="3" t="n">
        <v>0.4211648063770568</v>
      </c>
      <c r="G9" s="3" t="n">
        <v>0.5788351936229431</v>
      </c>
      <c r="H9" s="3" t="n">
        <v>0.5461021856482785</v>
      </c>
      <c r="I9" s="3" t="n">
        <v>0.4538978143517215</v>
      </c>
      <c r="J9" s="3" t="n">
        <v>234.7765726000889</v>
      </c>
      <c r="K9" s="3" t="n">
        <v>13.30604751775417</v>
      </c>
    </row>
    <row r="10" ht="15" customHeight="1" s="4">
      <c r="A10" s="3" t="n">
        <v>9</v>
      </c>
      <c r="B10" s="3" t="n">
        <v>202.766</v>
      </c>
      <c r="C10" s="3" t="n">
        <v>17.70000000000002</v>
      </c>
      <c r="D10" s="3" t="n">
        <v>21000.12123035127</v>
      </c>
      <c r="E10" s="3" t="n">
        <v>28977.5</v>
      </c>
      <c r="F10" s="3" t="n">
        <v>0.4383824792352727</v>
      </c>
      <c r="G10" s="3" t="n">
        <v>0.5616175207647274</v>
      </c>
      <c r="H10" s="3" t="n">
        <v>0.5288985698918547</v>
      </c>
      <c r="I10" s="3" t="n">
        <v>0.4711014301081453</v>
      </c>
      <c r="J10" s="3" t="n">
        <v>281.5005470782673</v>
      </c>
      <c r="K10" s="3" t="n">
        <v>15.47418581226262</v>
      </c>
    </row>
    <row r="11" ht="15" customHeight="1" s="4">
      <c r="A11" s="3" t="n">
        <v>10</v>
      </c>
      <c r="B11" s="3" t="n">
        <v>202.766</v>
      </c>
      <c r="C11" s="3" t="n">
        <v>17.70000000000002</v>
      </c>
      <c r="D11" s="3" t="n">
        <v>21040.9</v>
      </c>
      <c r="E11" s="3" t="n">
        <v>0</v>
      </c>
      <c r="F11" s="3" t="n">
        <v>0.3964419810168605</v>
      </c>
      <c r="G11" s="3" t="n">
        <v>0.6035580189831395</v>
      </c>
      <c r="H11" s="3" t="n">
        <v>0.8191515381015896</v>
      </c>
      <c r="I11" s="3" t="n">
        <v>0.1808484618984104</v>
      </c>
      <c r="J11" s="3" t="n">
        <v>0</v>
      </c>
      <c r="K11" s="3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.14" customWidth="1" style="3" min="1" max="1"/>
    <col width="8" customWidth="1" style="3" min="2" max="4"/>
  </cols>
  <sheetData>
    <row r="1" ht="15" customHeight="1" s="4">
      <c r="A1" s="3" t="inlineStr">
        <is>
          <t>Stream</t>
        </is>
      </c>
      <c r="B1" s="3" t="inlineStr">
        <is>
          <t>Feed1</t>
        </is>
      </c>
      <c r="C1" s="3" t="inlineStr">
        <is>
          <t>Top</t>
        </is>
      </c>
      <c r="D1" s="3" t="inlineStr">
        <is>
          <t>Bottom</t>
        </is>
      </c>
    </row>
    <row r="3" ht="15" customHeight="1" s="4">
      <c r="A3" s="3" t="inlineStr">
        <is>
          <t>Stage</t>
        </is>
      </c>
      <c r="B3" s="3" t="n">
        <v>8</v>
      </c>
      <c r="C3" s="3" t="n">
        <v>1</v>
      </c>
      <c r="D3" s="3" t="n">
        <v>10</v>
      </c>
    </row>
    <row r="4" ht="15" customHeight="1" s="4">
      <c r="A4" s="3" t="inlineStr">
        <is>
          <t>Pressure (psia)</t>
        </is>
      </c>
      <c r="B4" s="3" t="n">
        <v>17.0333333333333</v>
      </c>
      <c r="C4" s="3" t="n">
        <v>14.7</v>
      </c>
      <c r="D4" s="3" t="n">
        <v>17.7</v>
      </c>
    </row>
    <row r="5" ht="15" customHeight="1" s="4">
      <c r="A5" s="3" t="inlineStr">
        <is>
          <t>Vapour Fraction</t>
        </is>
      </c>
      <c r="B5" s="3" t="n">
        <v>0</v>
      </c>
      <c r="C5" s="3" t="n">
        <v>0</v>
      </c>
      <c r="D5" s="3" t="n">
        <v>0</v>
      </c>
    </row>
    <row r="6" ht="15" customHeight="1" s="4">
      <c r="A6" s="3" t="inlineStr">
        <is>
          <t>Temperature (F)</t>
        </is>
      </c>
      <c r="B6" s="3" t="n">
        <v>163.642</v>
      </c>
      <c r="C6" s="3" t="n">
        <v>149.075</v>
      </c>
      <c r="D6" s="3" t="n">
        <v>202.771</v>
      </c>
    </row>
    <row r="7" ht="15" customHeight="1" s="4">
      <c r="A7" s="3" t="inlineStr">
        <is>
          <t>Total Molar Flow (lbmol/h)</t>
        </is>
      </c>
      <c r="B7" s="3" t="n">
        <v>15873.3</v>
      </c>
      <c r="C7" s="3" t="n">
        <v>7936.64</v>
      </c>
      <c r="D7" s="3" t="n">
        <v>7936.64</v>
      </c>
    </row>
    <row r="9" ht="15" customHeight="1" s="4">
      <c r="A9" s="3" t="inlineStr">
        <is>
          <t>Mole flows (lbmol/h)</t>
        </is>
      </c>
    </row>
    <row r="10" ht="15" customHeight="1" s="4">
      <c r="A10" s="3" t="inlineStr">
        <is>
          <t>Water</t>
        </is>
      </c>
      <c r="B10" s="3" t="n">
        <v>7936.64</v>
      </c>
      <c r="C10" s="3" t="n">
        <v>234.91</v>
      </c>
      <c r="D10" s="3" t="n">
        <v>7701.73</v>
      </c>
    </row>
    <row r="11" ht="15" customHeight="1" s="4">
      <c r="A11" s="3" t="inlineStr">
        <is>
          <t>Methanol</t>
        </is>
      </c>
      <c r="B11" s="3" t="n">
        <v>7936.64</v>
      </c>
      <c r="C11" s="3" t="n">
        <v>7701.73</v>
      </c>
      <c r="D11" s="3" t="n">
        <v>234.91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7.42" customWidth="1" style="3" min="1" max="1"/>
  </cols>
  <sheetData>
    <row r="1" ht="15" customHeight="1" s="4">
      <c r="A1" s="3" t="inlineStr">
        <is>
          <t>Component Name</t>
        </is>
      </c>
    </row>
    <row r="2" ht="15" customHeight="1" s="4">
      <c r="A2" s="3" t="inlineStr">
        <is>
          <t>Water</t>
        </is>
      </c>
    </row>
    <row r="3" ht="15" customHeight="1" s="4">
      <c r="A3" s="3" t="inlineStr">
        <is>
          <t>Methanol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4" activeCellId="0" sqref="B14"/>
    </sheetView>
  </sheetViews>
  <sheetFormatPr baseColWidth="8" defaultColWidth="11.53515625" defaultRowHeight="15" customHeight="0" zeroHeight="0" outlineLevelRow="0"/>
  <cols>
    <col width="36.07" customWidth="1" style="3" min="1" max="1"/>
    <col width="93.12" customWidth="1" style="3" min="2" max="2"/>
  </cols>
  <sheetData>
    <row r="1" ht="15" customHeight="1" s="4">
      <c r="A1" s="3" t="inlineStr">
        <is>
          <t>Field</t>
        </is>
      </c>
      <c r="B1" s="3" t="inlineStr">
        <is>
          <t>Value</t>
        </is>
      </c>
    </row>
    <row r="2" ht="15" customHeight="1" s="4">
      <c r="A2" s="3" t="inlineStr">
        <is>
          <t>ChemSep source</t>
        </is>
      </c>
      <c r="B2" s="3" t="inlineStr">
        <is>
          <t>C:\Users\Thomas Zvolensky\Documents\Python Scripts\Dynamic_DistillationII\water-methanol-ChemSep.xls</t>
        </is>
      </c>
    </row>
    <row r="3" ht="15" customHeight="1" s="4">
      <c r="A3" s="3" t="inlineStr">
        <is>
          <t>Pressure override</t>
        </is>
      </c>
      <c r="B3" s="3" t="inlineStr">
        <is>
          <t>Linear 14.7 to 17.7 psia</t>
        </is>
      </c>
    </row>
    <row r="4" ht="15" customHeight="1" s="4">
      <c r="A4" s="3" t="inlineStr">
        <is>
          <t>Pressure caution</t>
        </is>
      </c>
      <c r="B4" s="3" t="inlineStr">
        <is>
          <t>ChemSep temperatures and compositions were solved at flat pressure.</t>
        </is>
      </c>
    </row>
    <row r="5" ht="15" customHeight="1" s="4">
      <c r="A5" s="3" t="inlineStr">
        <is>
          <t>Holdup caution</t>
        </is>
      </c>
      <c r="B5" s="3" t="inlineStr">
        <is>
          <t>Liquid and vapor holdups were preserved from the template.</t>
        </is>
      </c>
    </row>
    <row r="6" ht="15" customHeight="1" s="4">
      <c r="A6" s="3" t="inlineStr">
        <is>
          <t>Terminal vessel sizing basis</t>
        </is>
      </c>
      <c r="B6" s="3" t="inlineStr">
        <is>
          <t>10 min liquid residence at 50.0% level</t>
        </is>
      </c>
    </row>
    <row r="7" ht="15" customHeight="1" s="4">
      <c r="A7" s="3" t="inlineStr">
        <is>
          <t>Distillate drum liquid rate</t>
        </is>
      </c>
      <c r="B7" s="3" t="inlineStr">
        <is>
          <t>Reflux + distillate = 23809.9 lbmol/h</t>
        </is>
      </c>
    </row>
    <row r="8" ht="15" customHeight="1" s="4">
      <c r="A8" s="3" t="inlineStr">
        <is>
          <t>Distillate drum shape</t>
        </is>
      </c>
      <c r="B8" s="3" t="inlineStr">
        <is>
          <t>Horizontal cylinder, two hemispherical heads, tangent L/D = 3</t>
        </is>
      </c>
    </row>
    <row r="9" ht="15" customHeight="1" s="4">
      <c r="A9" s="3" t="inlineStr">
        <is>
          <t>Distillate drum overall length</t>
        </is>
      </c>
      <c r="B9" s="3" t="inlineStr">
        <is>
          <t>49.1231 ft including heads</t>
        </is>
      </c>
    </row>
    <row r="10" ht="15" customHeight="1" s="4">
      <c r="A10" s="3" t="inlineStr">
        <is>
          <t>Bottom sump sizing basis</t>
        </is>
      </c>
      <c r="B10" s="3" t="inlineStr">
        <is>
          <t>10 min usable drawdown from 50.0% normal to 25.0% low level at tray diameter = 20.3333 ft</t>
        </is>
      </c>
    </row>
    <row r="11" ht="15" customHeight="1" s="4">
      <c r="A11" s="3" t="inlineStr">
        <is>
          <t>Bottom sump calculated minimum height</t>
        </is>
      </c>
      <c r="B11" s="3" t="inlineStr">
        <is>
          <t>5.15113 ft</t>
        </is>
      </c>
    </row>
    <row r="12" ht="15" customHeight="1" s="4">
      <c r="A12" s="3" t="inlineStr">
        <is>
          <t>Bottom sump selected height</t>
        </is>
      </c>
      <c r="B12" s="3" t="inlineStr">
        <is>
          <t>6 ft</t>
        </is>
      </c>
    </row>
    <row r="13" ht="15" customHeight="1" s="4">
      <c r="A13" s="3" t="inlineStr">
        <is>
          <t>Bottom sump normal liquid height</t>
        </is>
      </c>
      <c r="B13" s="3" t="inlineStr">
        <is>
          <t>3 ft</t>
        </is>
      </c>
    </row>
    <row r="14" ht="15" customHeight="1" s="4">
      <c r="A14" s="3" t="inlineStr">
        <is>
          <t>Bottom sump low liquid height</t>
        </is>
      </c>
      <c r="B14" s="3" t="inlineStr">
        <is>
          <t>1.5 ft</t>
        </is>
      </c>
    </row>
    <row r="15" ht="15" customHeight="1" s="4">
      <c r="A15" s="3" t="inlineStr">
        <is>
          <t>Bottom sump usable residence time</t>
        </is>
      </c>
      <c r="B15" s="3" t="inlineStr">
        <is>
          <t>11.6479 min</t>
        </is>
      </c>
    </row>
    <row r="16" ht="15" customHeight="1" s="4">
      <c r="A16" s="3" t="inlineStr">
        <is>
          <t>Terminal liquid density source</t>
        </is>
      </c>
      <c r="B16" s="3" t="inlineStr">
        <is>
          <t>DWSIM UNIFAC at product temperature, pressure, and composition</t>
        </is>
      </c>
    </row>
    <row r="17" ht="15" customHeight="1" s="4">
      <c r="A17" s="3" t="inlineStr">
        <is>
          <t>Distillate liquid density</t>
        </is>
      </c>
      <c r="B17" s="3" t="inlineStr">
        <is>
          <t>1.48798775 lbmol/ft3</t>
        </is>
      </c>
    </row>
    <row r="18" ht="15" customHeight="1" s="4">
      <c r="A18" s="3" t="inlineStr">
        <is>
          <t>Bottoms liquid density</t>
        </is>
      </c>
      <c r="B18" s="3" t="inlineStr">
        <is>
          <t>3.1632693 lbmol/ft3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180.873091764876</v>
      </c>
      <c r="C2" t="n">
        <v>3799.889699946729</v>
      </c>
    </row>
    <row r="3">
      <c r="A3" t="inlineStr">
        <is>
          <t>top_V</t>
        </is>
      </c>
      <c r="B3" t="n">
        <v>0.1923939222788398</v>
      </c>
      <c r="C3" t="n">
        <v>6.307818642657153</v>
      </c>
    </row>
    <row r="4">
      <c r="A4" t="inlineStr">
        <is>
          <t>bottom_L</t>
        </is>
      </c>
      <c r="B4" t="n">
        <v>3007.053958905734</v>
      </c>
      <c r="C4" t="n">
        <v>167.0695290657948</v>
      </c>
    </row>
    <row r="5">
      <c r="A5" t="inlineStr">
        <is>
          <t>bottom_V</t>
        </is>
      </c>
      <c r="B5" t="n">
        <v>8.967986353540673e-09</v>
      </c>
      <c r="C5" t="n">
        <v>1.032013646459328e-09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-2079616.137294774</v>
      </c>
      <c r="C3" t="n">
        <v>2.773521173308618e-21</v>
      </c>
    </row>
    <row r="4">
      <c r="A4" t="n">
        <v>3</v>
      </c>
      <c r="B4" t="n">
        <v>-2100615.36725231</v>
      </c>
      <c r="C4" t="n">
        <v>1.706320875560773e-22</v>
      </c>
    </row>
    <row r="5">
      <c r="A5" t="n">
        <v>4</v>
      </c>
      <c r="B5" t="n">
        <v>-2126598.672094378</v>
      </c>
      <c r="C5" t="n">
        <v>1.436037159241953e-23</v>
      </c>
    </row>
    <row r="6">
      <c r="A6" t="n">
        <v>5</v>
      </c>
      <c r="B6" t="n">
        <v>-2214920.086035091</v>
      </c>
      <c r="C6" t="n">
        <v>1.047377614428481e-24</v>
      </c>
    </row>
    <row r="7">
      <c r="A7" t="n">
        <v>6</v>
      </c>
      <c r="B7" t="n">
        <v>-2224320.880161768</v>
      </c>
      <c r="C7" t="n">
        <v>6.175906102705443e-26</v>
      </c>
    </row>
    <row r="8">
      <c r="A8" t="n">
        <v>7</v>
      </c>
      <c r="B8" t="n">
        <v>-2364629.131563685</v>
      </c>
      <c r="C8" t="n">
        <v>3.079426312039392e-27</v>
      </c>
    </row>
    <row r="9">
      <c r="A9" t="n">
        <v>8</v>
      </c>
      <c r="B9" t="n">
        <v>-3843668.630700223</v>
      </c>
      <c r="C9" t="n">
        <v>2.590882997063549e-28</v>
      </c>
    </row>
    <row r="10">
      <c r="A10" t="n">
        <v>9</v>
      </c>
      <c r="B10" t="n">
        <v>-4591508.140128207</v>
      </c>
      <c r="C10" t="n">
        <v>4.534328473831783e-29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142.1970000000001</v>
      </c>
    </row>
    <row r="3">
      <c r="A3" t="n">
        <v>2</v>
      </c>
      <c r="B3" t="n">
        <v>15.03333333333333</v>
      </c>
      <c r="C3" t="n">
        <v>150.2239999999889</v>
      </c>
    </row>
    <row r="4">
      <c r="A4" t="n">
        <v>3</v>
      </c>
      <c r="B4" t="n">
        <v>15.36559931671807</v>
      </c>
      <c r="C4" t="n">
        <v>152.078</v>
      </c>
    </row>
    <row r="5">
      <c r="A5" t="n">
        <v>4</v>
      </c>
      <c r="B5" t="n">
        <v>15.67951045754262</v>
      </c>
      <c r="C5" t="n">
        <v>155.138</v>
      </c>
    </row>
    <row r="6">
      <c r="A6" t="n">
        <v>5</v>
      </c>
      <c r="B6" t="n">
        <v>15.98514776436893</v>
      </c>
      <c r="C6" t="n">
        <v>160.052</v>
      </c>
    </row>
    <row r="7">
      <c r="A7" t="n">
        <v>6</v>
      </c>
      <c r="B7" t="n">
        <v>16.24901395305479</v>
      </c>
      <c r="C7" t="n">
        <v>167.558</v>
      </c>
    </row>
    <row r="8">
      <c r="A8" t="n">
        <v>7</v>
      </c>
      <c r="B8" t="n">
        <v>16.50057434790488</v>
      </c>
      <c r="C8" t="n">
        <v>176.9</v>
      </c>
    </row>
    <row r="9">
      <c r="A9" t="n">
        <v>8</v>
      </c>
      <c r="B9" t="n">
        <v>17.02996604600792</v>
      </c>
      <c r="C9" t="n">
        <v>184.37</v>
      </c>
    </row>
    <row r="10">
      <c r="A10" t="n">
        <v>9</v>
      </c>
      <c r="B10" t="n">
        <v>17.70000000000002</v>
      </c>
      <c r="C10" t="n">
        <v>202.766</v>
      </c>
    </row>
    <row r="11">
      <c r="A11" t="n">
        <v>10</v>
      </c>
      <c r="B11" t="n">
        <v>17.70000000000002</v>
      </c>
      <c r="C11" t="n">
        <v>202.766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-0.009488993014386417</v>
      </c>
    </row>
    <row r="3">
      <c r="A3" t="inlineStr">
        <is>
          <t>bottom_level_integ</t>
        </is>
      </c>
      <c r="B3" t="n">
        <v>0.03505211213120246</v>
      </c>
    </row>
    <row r="4">
      <c r="A4" t="inlineStr">
        <is>
          <t>top_pressure_integ</t>
        </is>
      </c>
      <c r="B4" t="n">
        <v>7.330432557258407e-15</v>
      </c>
    </row>
    <row r="5">
      <c r="A5" t="inlineStr">
        <is>
          <t>top_pressure_pv_filt_psia</t>
        </is>
      </c>
      <c r="B5" t="n">
        <v>14.7</v>
      </c>
    </row>
    <row r="6">
      <c r="A6" t="inlineStr">
        <is>
          <t>top_pressure_mv_cmd_btuph</t>
        </is>
      </c>
      <c r="B6" t="n">
        <v>14.7</v>
      </c>
    </row>
    <row r="7">
      <c r="A7" t="inlineStr">
        <is>
          <t>top_pressure_resid_abs_btups</t>
        </is>
      </c>
      <c r="B7" t="n">
        <v>1497.957809621774</v>
      </c>
    </row>
    <row r="8">
      <c r="A8" t="inlineStr">
        <is>
          <t>top_drum_pressure_T_prev_F</t>
        </is>
      </c>
      <c r="B8" t="n">
        <v>142.1970000000007</v>
      </c>
    </row>
    <row r="9">
      <c r="A9" t="inlineStr">
        <is>
          <t>distillate_cmd_lbmolph</t>
        </is>
      </c>
      <c r="B9" t="n">
        <v>6613.20811137048</v>
      </c>
    </row>
    <row r="10">
      <c r="A10" t="inlineStr">
        <is>
          <t>bottoms_cmd_lbmolph</t>
        </is>
      </c>
      <c r="B10" t="n">
        <v>11273.93620836986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2026-08-31T21:55:56Z</dcterms:modified>
  <cp:revision>2</cp:revision>
</cp:coreProperties>
</file>