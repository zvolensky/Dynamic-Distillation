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pecifications" sheetId="1" state="visible" r:id="rId3"/>
    <sheet name="Initial Conditions" sheetId="2" state="visible" r:id="rId4"/>
    <sheet name="Streams" sheetId="3" state="visible" r:id="rId5"/>
    <sheet name="Components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<sst xmlns="http://schemas.openxmlformats.org/spreadsheetml/2006/main" count="125" uniqueCount="115">
  <si>
    <t xml:space="preserve">Parameter</t>
  </si>
  <si>
    <t xml:space="preserve">Value</t>
  </si>
  <si>
    <t xml:space="preserve">Number of Stages</t>
  </si>
  <si>
    <t xml:space="preserve">Number of Components</t>
  </si>
  <si>
    <t xml:space="preserve">Condenser Type</t>
  </si>
  <si>
    <t xml:space="preserve">Total</t>
  </si>
  <si>
    <t xml:space="preserve">Component 1</t>
  </si>
  <si>
    <t xml:space="preserve">Component 2</t>
  </si>
  <si>
    <t xml:space="preserve">Component Name</t>
  </si>
  <si>
    <t xml:space="preserve">Water</t>
  </si>
  <si>
    <t xml:space="preserve">Methanol</t>
  </si>
  <si>
    <t xml:space="preserve">Condenser Duty Mode</t>
  </si>
  <si>
    <t xml:space="preserve">specified</t>
  </si>
  <si>
    <t xml:space="preserve">Condenser Duty (Btu/h)</t>
  </si>
  <si>
    <t xml:space="preserve">Reboiler Duty (Btu/h)</t>
  </si>
  <si>
    <t xml:space="preserve">Runtime Mode</t>
  </si>
  <si>
    <t xml:space="preserve">parity</t>
  </si>
  <si>
    <t xml:space="preserve">Pressure Model</t>
  </si>
  <si>
    <t xml:space="preserve">Hydraulic</t>
  </si>
  <si>
    <t xml:space="preserve">Vapor Flow Model</t>
  </si>
  <si>
    <t xml:space="preserve">energy</t>
  </si>
  <si>
    <t xml:space="preserve">Include Energy</t>
  </si>
  <si>
    <t xml:space="preserve">Simulation Length (min)</t>
  </si>
  <si>
    <t xml:space="preserve">Timestep (sec)</t>
  </si>
  <si>
    <t xml:space="preserve">Log Frequency (timesteps)</t>
  </si>
  <si>
    <t xml:space="preserve">Stage time constant [tau] (sec)</t>
  </si>
  <si>
    <t xml:space="preserve">Thermo Mode</t>
  </si>
  <si>
    <t xml:space="preserve">dwsim</t>
  </si>
  <si>
    <t xml:space="preserve">Source ChemSep Workbook</t>
  </si>
  <si>
    <t xml:space="preserve">C:\Users\Thomas Zvolensky\Documents\Python Scripts\Dynamic_DistillationII\water-methanol-ChemSep.xls</t>
  </si>
  <si>
    <t xml:space="preserve">Source Notes</t>
  </si>
  <si>
    <t xml:space="preserve">ChemSep Excess Enthalpy seed; pressure overridden linearly for dynamic initialization.</t>
  </si>
  <si>
    <t xml:space="preserve">Top Accumulator Holdup (lbmol)</t>
  </si>
  <si>
    <t xml:space="preserve">Bottom Holdup (lbmol)</t>
  </si>
  <si>
    <t xml:space="preserve">Overhead Vapor Line Volume (ft3)</t>
  </si>
  <si>
    <t xml:space="preserve">Condenser Vapor Volume (ft3)</t>
  </si>
  <si>
    <t xml:space="preserve">Stage Geometry</t>
  </si>
  <si>
    <t xml:space="preserve">Start Stage</t>
  </si>
  <si>
    <t xml:space="preserve">End Stage</t>
  </si>
  <si>
    <t xml:space="preserve">Diameter (ft)</t>
  </si>
  <si>
    <t xml:space="preserve">Tray Spacing (ft)</t>
  </si>
  <si>
    <t xml:space="preserve">Gas Void Fraction</t>
  </si>
  <si>
    <t xml:space="preserve">Weir Height (in)</t>
  </si>
  <si>
    <t xml:space="preserve">Weir Length (ft)</t>
  </si>
  <si>
    <t xml:space="preserve">Active Area Fraction</t>
  </si>
  <si>
    <t xml:space="preserve">Geometry Notes</t>
  </si>
  <si>
    <t xml:space="preserve">Uniform internal-tray geometry for stages 2-9.</t>
  </si>
  <si>
    <t xml:space="preserve">First-pass assumptions copied from the 18-stage water-methanol companion case: 20 ft 4 in diameter, 2 ft spacing, 2 in weir, 15 ft weir length, 0.80 active area fraction.</t>
  </si>
  <si>
    <t xml:space="preserve">Condenser Pressure Drop (psi)</t>
  </si>
  <si>
    <t xml:space="preserve">Equilibrium Relaxation Mode</t>
  </si>
  <si>
    <t xml:space="preserve">composition-only</t>
  </si>
  <si>
    <t xml:space="preserve">Equilibrium Tau (sec)</t>
  </si>
  <si>
    <t xml:space="preserve">Equilibrium Energy Damping Gain</t>
  </si>
  <si>
    <t xml:space="preserve">Equilibrium Relaxation Live PR</t>
  </si>
  <si>
    <t xml:space="preserve">Vapor Holdup Relaxation (sec)</t>
  </si>
  <si>
    <t xml:space="preserve">Top Drum Total Volume (ft3)</t>
  </si>
  <si>
    <t xml:space="preserve">Top Drum Diameter (ft)</t>
  </si>
  <si>
    <t xml:space="preserve">Top Drum Length (ft)</t>
  </si>
  <si>
    <t xml:space="preserve">Top Drum Liquid Fraction</t>
  </si>
  <si>
    <t xml:space="preserve">Bottom Sump Total Volume (ft3)</t>
  </si>
  <si>
    <t xml:space="preserve">Bottom Sump Diameter (ft)</t>
  </si>
  <si>
    <t xml:space="preserve">Bottom Sump Height (ft)</t>
  </si>
  <si>
    <t xml:space="preserve">Bottom Sump Liquid Fraction</t>
  </si>
  <si>
    <t xml:space="preserve">Stage</t>
  </si>
  <si>
    <t xml:space="preserve">Temperature (F)</t>
  </si>
  <si>
    <t xml:space="preserve">Pressure (psia)</t>
  </si>
  <si>
    <t xml:space="preserve">Vapor Flow (lbmol/h)</t>
  </si>
  <si>
    <t xml:space="preserve">Liquid Flow (lbmol/h)</t>
  </si>
  <si>
    <t xml:space="preserve">Vapor Composition Component 1</t>
  </si>
  <si>
    <t xml:space="preserve">Vapor Composition Component 2</t>
  </si>
  <si>
    <t xml:space="preserve">Liquid Composition Component 1</t>
  </si>
  <si>
    <t xml:space="preserve">Liquid Composition Component 2</t>
  </si>
  <si>
    <t xml:space="preserve">Liquid Holdup (lbmol)</t>
  </si>
  <si>
    <t xml:space="preserve">Vapor Holdup (lbmol)</t>
  </si>
  <si>
    <t xml:space="preserve">Stream</t>
  </si>
  <si>
    <t xml:space="preserve">Feed1</t>
  </si>
  <si>
    <t xml:space="preserve">Top</t>
  </si>
  <si>
    <t xml:space="preserve">Bottom</t>
  </si>
  <si>
    <t xml:space="preserve">Vapour Fraction</t>
  </si>
  <si>
    <t xml:space="preserve">Total Molar Flow (lbmol/h)</t>
  </si>
  <si>
    <t xml:space="preserve">Mole flows (lbmol/h)</t>
  </si>
  <si>
    <t xml:space="preserve">Field</t>
  </si>
  <si>
    <t xml:space="preserve">ChemSep source</t>
  </si>
  <si>
    <t xml:space="preserve">Pressure override</t>
  </si>
  <si>
    <t xml:space="preserve">Linear 14.7 to 17.7 psia</t>
  </si>
  <si>
    <t xml:space="preserve">Pressure caution</t>
  </si>
  <si>
    <t xml:space="preserve">ChemSep temperatures and compositions were solved at flat pressure.</t>
  </si>
  <si>
    <t xml:space="preserve">Holdup caution</t>
  </si>
  <si>
    <t xml:space="preserve">Liquid and vapor holdups were preserved from the template.</t>
  </si>
  <si>
    <t xml:space="preserve">Terminal vessel sizing basis</t>
  </si>
  <si>
    <t xml:space="preserve">10 min liquid residence at 50.0% level</t>
  </si>
  <si>
    <t xml:space="preserve">Distillate drum liquid rate</t>
  </si>
  <si>
    <t xml:space="preserve">Reflux + distillate = 23809.9 lbmol/h</t>
  </si>
  <si>
    <t xml:space="preserve">Distillate drum shape</t>
  </si>
  <si>
    <t xml:space="preserve">Horizontal cylinder, two hemispherical heads, tangent L/D = 3</t>
  </si>
  <si>
    <t xml:space="preserve">Distillate drum overall length</t>
  </si>
  <si>
    <t xml:space="preserve">49.1231 ft including heads</t>
  </si>
  <si>
    <t xml:space="preserve">Bottom sump sizing basis</t>
  </si>
  <si>
    <t xml:space="preserve">10 min usable drawdown from 50.0% normal to 25.0% low level at tray diameter = 20.3333 ft</t>
  </si>
  <si>
    <t xml:space="preserve">Bottom sump calculated minimum height</t>
  </si>
  <si>
    <t xml:space="preserve">5.15113 ft</t>
  </si>
  <si>
    <t xml:space="preserve">Bottom sump selected height</t>
  </si>
  <si>
    <t xml:space="preserve">6 ft</t>
  </si>
  <si>
    <t xml:space="preserve">Bottom sump normal liquid height</t>
  </si>
  <si>
    <t xml:space="preserve">3 ft</t>
  </si>
  <si>
    <t xml:space="preserve">Bottom sump low liquid height</t>
  </si>
  <si>
    <t xml:space="preserve">1.5 ft</t>
  </si>
  <si>
    <t xml:space="preserve">Bottom sump usable residence time</t>
  </si>
  <si>
    <t xml:space="preserve">11.6479 min</t>
  </si>
  <si>
    <t xml:space="preserve">Terminal liquid density source</t>
  </si>
  <si>
    <t xml:space="preserve">DWSIM UNIFAC at product temperature, pressure, and composition</t>
  </si>
  <si>
    <t xml:space="preserve">Distillate liquid density</t>
  </si>
  <si>
    <t xml:space="preserve">1.48798775 lbmol/ft3</t>
  </si>
  <si>
    <t xml:space="preserve">Bottoms liquid density</t>
  </si>
  <si>
    <t xml:space="preserve">3.1632693 lbmol/ft3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</si>
</sst>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42" activeCellId="0" sqref="A42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141.4"/>
    <col collapsed="false" customWidth="true" hidden="false" outlineLevel="0" max="2" min="2" style="1" width="93.12"/>
    <col collapsed="false" customWidth="true" hidden="false" outlineLevel="0" max="3" min="3" style="1" width="18.82"/>
    <col collapsed="false" customWidth="true" hidden="false" outlineLevel="0" max="4" min="4" style="1" width="15.06"/>
    <col collapsed="false" customWidth="true" hidden="false" outlineLevel="0" max="5" min="5" style="1" width="16.18"/>
    <col collapsed="false" customWidth="true" hidden="false" outlineLevel="0" max="7" min="6" style="1" width="14.65"/>
    <col collapsed="false" customWidth="true" hidden="false" outlineLevel="0" max="8" min="8" style="1" width="18.26"/>
  </cols>
  <sheetData>
    <row r="1" customFormat="false" ht="15" hidden="false" customHeight="true" outlineLevel="0" collapsed="false">
      <c r="A1" s="1" t="s">
        <v>0</v>
      </c>
      <c r="B1" s="1" t="s">
        <v>1</v>
      </c>
    </row>
    <row r="2" customFormat="false" ht="15" hidden="false" customHeight="true" outlineLevel="0" collapsed="false">
      <c r="A2" s="1" t="s">
        <v>2</v>
      </c>
      <c r="B2" s="1" t="n">
        <v>10</v>
      </c>
    </row>
    <row r="3" customFormat="false" ht="15" hidden="false" customHeight="true" outlineLevel="0" collapsed="false">
      <c r="A3" s="1" t="s">
        <v>3</v>
      </c>
      <c r="B3" s="1" t="n">
        <v>2</v>
      </c>
    </row>
    <row r="4" customFormat="false" ht="15" hidden="false" customHeight="true" outlineLevel="0" collapsed="false">
      <c r="A4" s="1" t="s">
        <v>4</v>
      </c>
      <c r="B4" s="1" t="s">
        <v>5</v>
      </c>
    </row>
    <row r="5" customFormat="false" ht="15" hidden="false" customHeight="true" outlineLevel="0" collapsed="false">
      <c r="B5" s="1" t="s">
        <v>6</v>
      </c>
      <c r="C5" s="1" t="s">
        <v>7</v>
      </c>
    </row>
    <row r="6" customFormat="false" ht="15" hidden="false" customHeight="true" outlineLevel="0" collapsed="false">
      <c r="A6" s="1" t="s">
        <v>8</v>
      </c>
      <c r="B6" s="1" t="s">
        <v>9</v>
      </c>
      <c r="C6" s="1" t="s">
        <v>10</v>
      </c>
    </row>
    <row r="7" customFormat="false" ht="15" hidden="false" customHeight="true" outlineLevel="0" collapsed="false">
      <c r="A7" s="1" t="s">
        <v>11</v>
      </c>
      <c r="B7" s="1" t="s">
        <v>12</v>
      </c>
    </row>
    <row r="8" customFormat="false" ht="15" hidden="false" customHeight="true" outlineLevel="0" collapsed="false">
      <c r="A8" s="1" t="s">
        <v>13</v>
      </c>
      <c r="B8" s="1" t="n">
        <v>-364900000</v>
      </c>
    </row>
    <row r="9" customFormat="false" ht="15" hidden="false" customHeight="true" outlineLevel="0" collapsed="false">
      <c r="A9" s="1" t="s">
        <v>14</v>
      </c>
      <c r="B9" s="1" t="n">
        <v>368680000</v>
      </c>
    </row>
    <row r="10" customFormat="false" ht="15" hidden="false" customHeight="true" outlineLevel="0" collapsed="false">
      <c r="A10" s="1" t="s">
        <v>15</v>
      </c>
      <c r="B10" s="1" t="s">
        <v>16</v>
      </c>
    </row>
    <row r="11" customFormat="false" ht="15" hidden="false" customHeight="true" outlineLevel="0" collapsed="false">
      <c r="A11" s="1" t="s">
        <v>17</v>
      </c>
      <c r="B11" s="1" t="s">
        <v>18</v>
      </c>
    </row>
    <row r="12" customFormat="false" ht="15" hidden="false" customHeight="true" outlineLevel="0" collapsed="false">
      <c r="A12" s="1" t="s">
        <v>19</v>
      </c>
      <c r="B12" s="1" t="s">
        <v>20</v>
      </c>
    </row>
    <row r="13" customFormat="false" ht="15" hidden="false" customHeight="true" outlineLevel="0" collapsed="false">
      <c r="A13" s="1" t="s">
        <v>21</v>
      </c>
      <c r="B13" s="2" t="b">
        <f aca="false">TRUE()</f>
        <v>1</v>
      </c>
    </row>
    <row r="14" customFormat="false" ht="15" hidden="false" customHeight="true" outlineLevel="0" collapsed="false">
      <c r="A14" s="1" t="s">
        <v>22</v>
      </c>
      <c r="B14" s="1" t="n">
        <v>10</v>
      </c>
    </row>
    <row r="15" customFormat="false" ht="15" hidden="false" customHeight="true" outlineLevel="0" collapsed="false">
      <c r="A15" s="1" t="s">
        <v>23</v>
      </c>
      <c r="B15" s="1" t="n">
        <v>0.2</v>
      </c>
    </row>
    <row r="16" customFormat="false" ht="15" hidden="false" customHeight="true" outlineLevel="0" collapsed="false">
      <c r="A16" s="1" t="s">
        <v>24</v>
      </c>
      <c r="B16" s="1" t="n">
        <v>10</v>
      </c>
    </row>
    <row r="17" customFormat="false" ht="15" hidden="false" customHeight="true" outlineLevel="0" collapsed="false">
      <c r="A17" s="1" t="s">
        <v>25</v>
      </c>
      <c r="B17" s="1" t="n">
        <v>4</v>
      </c>
    </row>
    <row r="18" customFormat="false" ht="15" hidden="false" customHeight="true" outlineLevel="0" collapsed="false">
      <c r="A18" s="1" t="s">
        <v>26</v>
      </c>
      <c r="B18" s="1" t="s">
        <v>27</v>
      </c>
    </row>
    <row r="19" customFormat="false" ht="15" hidden="false" customHeight="true" outlineLevel="0" collapsed="false">
      <c r="A19" s="1" t="s">
        <v>28</v>
      </c>
      <c r="B19" s="1" t="s">
        <v>29</v>
      </c>
    </row>
    <row r="20" customFormat="false" ht="15" hidden="false" customHeight="true" outlineLevel="0" collapsed="false">
      <c r="A20" s="1" t="s">
        <v>30</v>
      </c>
      <c r="B20" s="1" t="s">
        <v>31</v>
      </c>
    </row>
    <row r="21" customFormat="false" ht="15" hidden="false" customHeight="true" outlineLevel="0" collapsed="false">
      <c r="A21" s="1" t="s">
        <v>32</v>
      </c>
      <c r="B21" s="1" t="n">
        <v>3968.32333333333</v>
      </c>
    </row>
    <row r="22" customFormat="false" ht="15" hidden="false" customHeight="true" outlineLevel="0" collapsed="false">
      <c r="A22" s="1" t="s">
        <v>33</v>
      </c>
      <c r="B22" s="1" t="n">
        <v>3081.51625787747</v>
      </c>
    </row>
    <row r="23" customFormat="false" ht="15" hidden="false" customHeight="true" outlineLevel="0" collapsed="false">
      <c r="A23" s="1" t="s">
        <v>34</v>
      </c>
      <c r="B23" s="1" t="n">
        <v>56</v>
      </c>
    </row>
    <row r="24" customFormat="false" ht="15" hidden="false" customHeight="true" outlineLevel="0" collapsed="false">
      <c r="A24" s="1" t="s">
        <v>35</v>
      </c>
      <c r="B24" s="1" t="n">
        <v>100</v>
      </c>
    </row>
    <row r="26" customFormat="false" ht="15" hidden="false" customHeight="true" outlineLevel="0" collapsed="false">
      <c r="A26" s="1" t="s">
        <v>36</v>
      </c>
    </row>
    <row r="27" customFormat="false" ht="15" hidden="false" customHeight="true" outlineLevel="0" collapsed="false">
      <c r="A27" s="1" t="s">
        <v>37</v>
      </c>
      <c r="B27" s="1" t="s">
        <v>38</v>
      </c>
      <c r="C27" s="1" t="s">
        <v>39</v>
      </c>
      <c r="D27" s="1" t="s">
        <v>40</v>
      </c>
      <c r="E27" s="1" t="s">
        <v>41</v>
      </c>
      <c r="F27" s="1" t="s">
        <v>42</v>
      </c>
      <c r="G27" s="1" t="s">
        <v>43</v>
      </c>
      <c r="H27" s="1" t="s">
        <v>44</v>
      </c>
    </row>
    <row r="28" customFormat="false" ht="15" hidden="false" customHeight="true" outlineLevel="0" collapsed="false">
      <c r="A28" s="1" t="n">
        <v>2</v>
      </c>
      <c r="B28" s="1" t="n">
        <v>9</v>
      </c>
      <c r="C28" s="1" t="n">
        <v>20.3333333333333</v>
      </c>
      <c r="D28" s="1" t="n">
        <v>2</v>
      </c>
      <c r="E28" s="1" t="n">
        <v>0.75</v>
      </c>
      <c r="F28" s="1" t="n">
        <v>2</v>
      </c>
      <c r="G28" s="1" t="n">
        <v>15</v>
      </c>
      <c r="H28" s="1" t="n">
        <v>0.8</v>
      </c>
    </row>
    <row r="30" customFormat="false" ht="15" hidden="false" customHeight="true" outlineLevel="0" collapsed="false">
      <c r="A30" s="1" t="s">
        <v>45</v>
      </c>
    </row>
    <row r="31" customFormat="false" ht="15" hidden="false" customHeight="true" outlineLevel="0" collapsed="false">
      <c r="A31" s="1" t="s">
        <v>46</v>
      </c>
    </row>
    <row r="32" customFormat="false" ht="15" hidden="false" customHeight="true" outlineLevel="0" collapsed="false">
      <c r="A32" s="1" t="s">
        <v>47</v>
      </c>
    </row>
    <row r="33" customFormat="false" ht="15" hidden="false" customHeight="true" outlineLevel="0" collapsed="false">
      <c r="A33" s="1" t="s">
        <v>48</v>
      </c>
      <c r="B33" s="1" t="n">
        <v>0.333333333333333</v>
      </c>
    </row>
    <row r="34" customFormat="false" ht="15" hidden="false" customHeight="true" outlineLevel="0" collapsed="false">
      <c r="A34" s="1" t="s">
        <v>49</v>
      </c>
      <c r="B34" s="1" t="s">
        <v>50</v>
      </c>
    </row>
    <row r="35" customFormat="false" ht="15" hidden="false" customHeight="true" outlineLevel="0" collapsed="false">
      <c r="A35" s="1" t="s">
        <v>51</v>
      </c>
      <c r="B35" s="1" t="n">
        <v>4</v>
      </c>
    </row>
    <row r="36" customFormat="false" ht="15" hidden="false" customHeight="true" outlineLevel="0" collapsed="false">
      <c r="A36" s="1" t="s">
        <v>52</v>
      </c>
      <c r="B36" s="1" t="n">
        <v>0.2</v>
      </c>
    </row>
    <row r="37" customFormat="false" ht="15" hidden="false" customHeight="true" outlineLevel="0" collapsed="false">
      <c r="A37" s="1" t="s">
        <v>53</v>
      </c>
      <c r="B37" s="2" t="b">
        <f aca="false">TRUE()</f>
        <v>1</v>
      </c>
    </row>
    <row r="38" customFormat="false" ht="15" hidden="false" customHeight="true" outlineLevel="0" collapsed="false">
      <c r="A38" s="1" t="s">
        <v>54</v>
      </c>
      <c r="B38" s="1" t="n">
        <v>0</v>
      </c>
    </row>
    <row r="39" customFormat="false" ht="15" hidden="false" customHeight="false" outlineLevel="0" collapsed="false">
      <c r="A39" s="1" t="s">
        <v>55</v>
      </c>
      <c r="B39" s="1" t="n">
        <v>5333.81183809974</v>
      </c>
    </row>
    <row r="40" customFormat="false" ht="15" hidden="false" customHeight="false" outlineLevel="0" collapsed="false">
      <c r="A40" s="1" t="s">
        <v>56</v>
      </c>
      <c r="B40" s="1" t="n">
        <v>12.2807660959617</v>
      </c>
    </row>
    <row r="41" customFormat="false" ht="15" hidden="false" customHeight="false" outlineLevel="0" collapsed="false">
      <c r="A41" s="1" t="s">
        <v>57</v>
      </c>
      <c r="B41" s="1" t="n">
        <v>36.8422982878851</v>
      </c>
    </row>
    <row r="42" customFormat="false" ht="15" hidden="false" customHeight="false" outlineLevel="0" collapsed="false">
      <c r="A42" s="1" t="s">
        <v>58</v>
      </c>
      <c r="B42" s="1" t="n">
        <v>0.5</v>
      </c>
    </row>
    <row r="43" customFormat="false" ht="15" hidden="false" customHeight="false" outlineLevel="0" collapsed="false">
      <c r="A43" s="1" t="s">
        <v>59</v>
      </c>
      <c r="B43" s="1" t="n">
        <v>1948.31104400126</v>
      </c>
    </row>
    <row r="44" customFormat="false" ht="15" hidden="false" customHeight="false" outlineLevel="0" collapsed="false">
      <c r="A44" s="1" t="s">
        <v>60</v>
      </c>
      <c r="B44" s="1" t="n">
        <v>20.3333333333333</v>
      </c>
    </row>
    <row r="45" customFormat="false" ht="15" hidden="false" customHeight="false" outlineLevel="0" collapsed="false">
      <c r="A45" s="1" t="s">
        <v>61</v>
      </c>
      <c r="B45" s="1" t="n">
        <v>6</v>
      </c>
    </row>
    <row r="46" customFormat="false" ht="15" hidden="false" customHeight="false" outlineLevel="0" collapsed="false">
      <c r="A46" s="1" t="s">
        <v>62</v>
      </c>
      <c r="B46" s="1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15.57"/>
    <col collapsed="false" customWidth="true" hidden="false" outlineLevel="0" max="3" min="3" style="1" width="14.29"/>
    <col collapsed="false" customWidth="true" hidden="false" outlineLevel="0" max="4" min="4" style="1" width="20.29"/>
    <col collapsed="false" customWidth="true" hidden="false" outlineLevel="0" max="5" min="5" style="1" width="20.42"/>
    <col collapsed="false" customWidth="true" hidden="false" outlineLevel="0" max="7" min="6" style="1" width="31"/>
    <col collapsed="false" customWidth="true" hidden="false" outlineLevel="0" max="9" min="8" style="1" width="31.16"/>
  </cols>
  <sheetData>
    <row r="1" customFormat="false" ht="15" hidden="false" customHeight="tru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</row>
    <row r="2" customFormat="false" ht="15" hidden="false" customHeight="true" outlineLevel="0" collapsed="false">
      <c r="A2" s="1" t="n">
        <v>1</v>
      </c>
      <c r="B2" s="1" t="n">
        <v>149.072</v>
      </c>
      <c r="C2" s="1" t="n">
        <v>14.7</v>
      </c>
      <c r="D2" s="1" t="n">
        <v>0</v>
      </c>
      <c r="E2" s="1" t="n">
        <v>15873.3</v>
      </c>
      <c r="F2" s="1" t="n">
        <v>0.0122611975477605</v>
      </c>
      <c r="G2" s="1" t="n">
        <v>0.987738802452239</v>
      </c>
      <c r="H2" s="1" t="n">
        <v>0.0295980970401903</v>
      </c>
      <c r="I2" s="1" t="n">
        <v>0.97040190295981</v>
      </c>
      <c r="J2" s="1" t="n">
        <v>0</v>
      </c>
      <c r="K2" s="1" t="n">
        <v>0</v>
      </c>
    </row>
    <row r="3" customFormat="false" ht="15" hidden="false" customHeight="true" outlineLevel="0" collapsed="false">
      <c r="A3" s="1" t="n">
        <v>2</v>
      </c>
      <c r="B3" s="1" t="n">
        <v>150.224</v>
      </c>
      <c r="C3" s="1" t="n">
        <v>15.0333333333333</v>
      </c>
      <c r="D3" s="1" t="n">
        <v>23809.9</v>
      </c>
      <c r="E3" s="1" t="n">
        <v>15733.8</v>
      </c>
      <c r="F3" s="1" t="n">
        <v>0.0295980970401903</v>
      </c>
      <c r="G3" s="1" t="n">
        <v>0.97040190295981</v>
      </c>
      <c r="H3" s="1" t="n">
        <v>0.0714015357007679</v>
      </c>
      <c r="I3" s="1" t="n">
        <v>0.928598464299232</v>
      </c>
      <c r="J3" s="1" t="n">
        <v>123.650577403696</v>
      </c>
      <c r="K3" s="1" t="n">
        <v>39.6831666666667</v>
      </c>
    </row>
    <row r="4" customFormat="false" ht="15" hidden="false" customHeight="true" outlineLevel="0" collapsed="false">
      <c r="A4" s="1" t="n">
        <v>3</v>
      </c>
      <c r="B4" s="1" t="n">
        <v>152.078</v>
      </c>
      <c r="C4" s="1" t="n">
        <v>15.3666666666667</v>
      </c>
      <c r="D4" s="1" t="n">
        <v>23670.5</v>
      </c>
      <c r="E4" s="1" t="n">
        <v>15517.3</v>
      </c>
      <c r="F4" s="1" t="n">
        <v>0.057385</v>
      </c>
      <c r="G4" s="1" t="n">
        <v>0.942615</v>
      </c>
      <c r="H4" s="1" t="n">
        <v>0.138166</v>
      </c>
      <c r="I4" s="1" t="n">
        <v>0.861834</v>
      </c>
      <c r="J4" s="1" t="n">
        <v>125.044840823398</v>
      </c>
      <c r="K4" s="1" t="n">
        <v>39.6831666666667</v>
      </c>
    </row>
    <row r="5" customFormat="false" ht="15" hidden="false" customHeight="true" outlineLevel="0" collapsed="false">
      <c r="A5" s="1" t="n">
        <v>4</v>
      </c>
      <c r="B5" s="1" t="n">
        <v>155.138</v>
      </c>
      <c r="C5" s="1" t="n">
        <v>15.7</v>
      </c>
      <c r="D5" s="1" t="n">
        <v>23453.9</v>
      </c>
      <c r="E5" s="1" t="n">
        <v>15193.1</v>
      </c>
      <c r="F5" s="1" t="n">
        <v>0.101427</v>
      </c>
      <c r="G5" s="1" t="n">
        <v>0.898573</v>
      </c>
      <c r="H5" s="1" t="n">
        <v>0.242779757220243</v>
      </c>
      <c r="I5" s="1" t="n">
        <v>0.757220242779757</v>
      </c>
      <c r="J5" s="1" t="n">
        <v>127.420144172698</v>
      </c>
      <c r="K5" s="1" t="n">
        <v>39.6831666666667</v>
      </c>
    </row>
    <row r="6" customFormat="false" ht="15" hidden="false" customHeight="true" outlineLevel="0" collapsed="false">
      <c r="A6" s="1" t="n">
        <v>5</v>
      </c>
      <c r="B6" s="1" t="n">
        <v>160.052</v>
      </c>
      <c r="C6" s="1" t="n">
        <v>16.0333333333333</v>
      </c>
      <c r="D6" s="1" t="n">
        <v>23129.8</v>
      </c>
      <c r="E6" s="1" t="n">
        <v>14746.9</v>
      </c>
      <c r="F6" s="1" t="n">
        <v>0.169629</v>
      </c>
      <c r="G6" s="1" t="n">
        <v>0.830371</v>
      </c>
      <c r="H6" s="1" t="n">
        <v>0.398527</v>
      </c>
      <c r="I6" s="1" t="n">
        <v>0.601473</v>
      </c>
      <c r="J6" s="1" t="n">
        <v>131.585511691347</v>
      </c>
      <c r="K6" s="1" t="n">
        <v>39.6831666666667</v>
      </c>
    </row>
    <row r="7" customFormat="false" ht="15" hidden="false" customHeight="true" outlineLevel="0" collapsed="false">
      <c r="A7" s="1" t="n">
        <v>6</v>
      </c>
      <c r="B7" s="1" t="n">
        <v>167.558</v>
      </c>
      <c r="C7" s="1" t="n">
        <v>16.3666666666667</v>
      </c>
      <c r="D7" s="1" t="n">
        <v>22683.6</v>
      </c>
      <c r="E7" s="1" t="n">
        <v>14249.7</v>
      </c>
      <c r="F7" s="1" t="n">
        <v>0.269445</v>
      </c>
      <c r="G7" s="1" t="n">
        <v>0.730555</v>
      </c>
      <c r="H7" s="1" t="n">
        <v>0.597405</v>
      </c>
      <c r="I7" s="1" t="n">
        <v>0.402595</v>
      </c>
      <c r="J7" s="1" t="n">
        <v>139.156244729406</v>
      </c>
      <c r="K7" s="1" t="n">
        <v>39.6831666666667</v>
      </c>
    </row>
    <row r="8" customFormat="false" ht="15" hidden="false" customHeight="true" outlineLevel="0" collapsed="false">
      <c r="A8" s="1" t="n">
        <v>7</v>
      </c>
      <c r="B8" s="1" t="n">
        <v>176.9</v>
      </c>
      <c r="C8" s="1" t="n">
        <v>16.7</v>
      </c>
      <c r="D8" s="1" t="n">
        <v>22186.4</v>
      </c>
      <c r="E8" s="1" t="n">
        <v>13903.4</v>
      </c>
      <c r="F8" s="1" t="n">
        <v>0.394286</v>
      </c>
      <c r="G8" s="1" t="n">
        <v>0.605714</v>
      </c>
      <c r="H8" s="1" t="n">
        <v>0.769993</v>
      </c>
      <c r="I8" s="1" t="n">
        <v>0.230007</v>
      </c>
      <c r="J8" s="1" t="n">
        <v>152.946534392579</v>
      </c>
      <c r="K8" s="1" t="n">
        <v>39.6831666666667</v>
      </c>
    </row>
    <row r="9" customFormat="false" ht="15" hidden="false" customHeight="true" outlineLevel="0" collapsed="false">
      <c r="A9" s="1" t="n">
        <v>8</v>
      </c>
      <c r="B9" s="1" t="n">
        <v>184.37</v>
      </c>
      <c r="C9" s="1" t="n">
        <v>17.0333333333333</v>
      </c>
      <c r="D9" s="1" t="n">
        <v>21840.1</v>
      </c>
      <c r="E9" s="1" t="n">
        <v>28948.7</v>
      </c>
      <c r="F9" s="1" t="n">
        <v>0.500935</v>
      </c>
      <c r="G9" s="1" t="n">
        <v>0.499065</v>
      </c>
      <c r="H9" s="1" t="n">
        <v>0.857205</v>
      </c>
      <c r="I9" s="1" t="n">
        <v>0.142795</v>
      </c>
      <c r="J9" s="1" t="n">
        <v>214.190355288144</v>
      </c>
      <c r="K9" s="1" t="n">
        <v>39.6831666666667</v>
      </c>
    </row>
    <row r="10" customFormat="false" ht="15" hidden="false" customHeight="true" outlineLevel="0" collapsed="false">
      <c r="A10" s="1" t="n">
        <v>9</v>
      </c>
      <c r="B10" s="1" t="n">
        <v>202.766</v>
      </c>
      <c r="C10" s="1" t="n">
        <v>17.3666666666667</v>
      </c>
      <c r="D10" s="1" t="n">
        <v>21012</v>
      </c>
      <c r="E10" s="1" t="n">
        <v>28977.5</v>
      </c>
      <c r="F10" s="1" t="n">
        <v>0.814449</v>
      </c>
      <c r="G10" s="1" t="n">
        <v>0.185551</v>
      </c>
      <c r="H10" s="1" t="n">
        <v>0.97040190295981</v>
      </c>
      <c r="I10" s="1" t="n">
        <v>0.0295980970401903</v>
      </c>
      <c r="J10" s="1" t="n">
        <v>247.05963054705</v>
      </c>
      <c r="K10" s="1" t="n">
        <v>39.6831666666667</v>
      </c>
    </row>
    <row r="11" customFormat="false" ht="15" hidden="false" customHeight="true" outlineLevel="0" collapsed="false">
      <c r="A11" s="1" t="n">
        <v>10</v>
      </c>
      <c r="B11" s="1" t="n">
        <v>202.766</v>
      </c>
      <c r="C11" s="1" t="n">
        <v>17.7</v>
      </c>
      <c r="D11" s="1" t="n">
        <v>21040.9</v>
      </c>
      <c r="E11" s="1" t="n">
        <v>0</v>
      </c>
      <c r="F11" s="1" t="n">
        <v>0.97040190295981</v>
      </c>
      <c r="G11" s="1" t="n">
        <v>0.0295980970401903</v>
      </c>
      <c r="H11" s="1" t="n">
        <v>0.97040190295981</v>
      </c>
      <c r="I11" s="1" t="n">
        <v>0.0295980970401903</v>
      </c>
      <c r="J11" s="1" t="n">
        <v>0</v>
      </c>
      <c r="K11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.14"/>
    <col collapsed="false" customWidth="true" hidden="false" outlineLevel="0" max="4" min="2" style="1" width="8"/>
  </cols>
  <sheetData>
    <row r="1" customFormat="false" ht="15" hidden="false" customHeight="true" outlineLevel="0" collapsed="false">
      <c r="A1" s="1" t="s">
        <v>74</v>
      </c>
      <c r="B1" s="1" t="s">
        <v>75</v>
      </c>
      <c r="C1" s="1" t="s">
        <v>76</v>
      </c>
      <c r="D1" s="1" t="s">
        <v>77</v>
      </c>
    </row>
    <row r="3" customFormat="false" ht="15" hidden="false" customHeight="true" outlineLevel="0" collapsed="false">
      <c r="A3" s="1" t="s">
        <v>63</v>
      </c>
      <c r="B3" s="1" t="n">
        <v>8</v>
      </c>
      <c r="C3" s="1" t="n">
        <v>1</v>
      </c>
      <c r="D3" s="1" t="n">
        <v>10</v>
      </c>
    </row>
    <row r="4" customFormat="false" ht="15" hidden="false" customHeight="true" outlineLevel="0" collapsed="false">
      <c r="A4" s="1" t="s">
        <v>65</v>
      </c>
      <c r="B4" s="1" t="n">
        <v>17.0333333333333</v>
      </c>
      <c r="C4" s="1" t="n">
        <v>14.7</v>
      </c>
      <c r="D4" s="1" t="n">
        <v>17.7</v>
      </c>
    </row>
    <row r="5" customFormat="false" ht="15" hidden="false" customHeight="true" outlineLevel="0" collapsed="false">
      <c r="A5" s="1" t="s">
        <v>78</v>
      </c>
      <c r="B5" s="1" t="n">
        <v>0</v>
      </c>
      <c r="C5" s="1" t="n">
        <v>0</v>
      </c>
      <c r="D5" s="1" t="n">
        <v>0</v>
      </c>
    </row>
    <row r="6" customFormat="false" ht="15" hidden="false" customHeight="true" outlineLevel="0" collapsed="false">
      <c r="A6" s="1" t="s">
        <v>64</v>
      </c>
      <c r="B6" s="1" t="n">
        <v>163.642</v>
      </c>
      <c r="C6" s="1" t="n">
        <v>149.075</v>
      </c>
      <c r="D6" s="1" t="n">
        <v>202.771</v>
      </c>
    </row>
    <row r="7" customFormat="false" ht="15" hidden="false" customHeight="true" outlineLevel="0" collapsed="false">
      <c r="A7" s="1" t="s">
        <v>79</v>
      </c>
      <c r="B7" s="1" t="n">
        <v>15873.3</v>
      </c>
      <c r="C7" s="1" t="n">
        <v>7936.64</v>
      </c>
      <c r="D7" s="1" t="n">
        <v>7936.64</v>
      </c>
    </row>
    <row r="9" customFormat="false" ht="15" hidden="false" customHeight="true" outlineLevel="0" collapsed="false">
      <c r="A9" s="1" t="s">
        <v>80</v>
      </c>
    </row>
    <row r="10" customFormat="false" ht="15" hidden="false" customHeight="true" outlineLevel="0" collapsed="false">
      <c r="A10" s="1" t="s">
        <v>9</v>
      </c>
      <c r="B10" s="1" t="n">
        <v>7936.64</v>
      </c>
      <c r="C10" s="1" t="n">
        <v>234.91</v>
      </c>
      <c r="D10" s="1" t="n">
        <v>7701.73</v>
      </c>
    </row>
    <row r="11" customFormat="false" ht="15" hidden="false" customHeight="true" outlineLevel="0" collapsed="false">
      <c r="A11" s="1" t="s">
        <v>10</v>
      </c>
      <c r="B11" s="1" t="n">
        <v>7936.64</v>
      </c>
      <c r="C11" s="1" t="n">
        <v>7701.73</v>
      </c>
      <c r="D11" s="1" t="n">
        <v>234.91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7.42"/>
  </cols>
  <sheetData>
    <row r="1" customFormat="false" ht="15" hidden="false" customHeight="true" outlineLevel="0" collapsed="false">
      <c r="A1" s="1" t="s">
        <v>8</v>
      </c>
    </row>
    <row r="2" customFormat="false" ht="15" hidden="false" customHeight="true" outlineLevel="0" collapsed="false">
      <c r="A2" s="1" t="s">
        <v>9</v>
      </c>
    </row>
    <row r="3" customFormat="false" ht="15" hidden="false" customHeight="true" outlineLevel="0" collapsed="false">
      <c r="A3" s="1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36.07"/>
    <col collapsed="false" customWidth="true" hidden="false" outlineLevel="0" max="2" min="2" style="1" width="93.12"/>
  </cols>
  <sheetData>
    <row r="1" customFormat="false" ht="15" hidden="false" customHeight="true" outlineLevel="0" collapsed="false">
      <c r="A1" s="1" t="s">
        <v>81</v>
      </c>
      <c r="B1" s="1" t="s">
        <v>1</v>
      </c>
    </row>
    <row r="2" customFormat="false" ht="15" hidden="false" customHeight="true" outlineLevel="0" collapsed="false">
      <c r="A2" s="1" t="s">
        <v>82</v>
      </c>
      <c r="B2" s="1" t="s">
        <v>29</v>
      </c>
    </row>
    <row r="3" customFormat="false" ht="15" hidden="false" customHeight="true" outlineLevel="0" collapsed="false">
      <c r="A3" s="1" t="s">
        <v>83</v>
      </c>
      <c r="B3" s="1" t="s">
        <v>84</v>
      </c>
    </row>
    <row r="4" customFormat="false" ht="15" hidden="false" customHeight="true" outlineLevel="0" collapsed="false">
      <c r="A4" s="1" t="s">
        <v>85</v>
      </c>
      <c r="B4" s="1" t="s">
        <v>86</v>
      </c>
    </row>
    <row r="5" customFormat="false" ht="15" hidden="false" customHeight="true" outlineLevel="0" collapsed="false">
      <c r="A5" s="1" t="s">
        <v>87</v>
      </c>
      <c r="B5" s="1" t="s">
        <v>88</v>
      </c>
    </row>
    <row r="6" customFormat="false" ht="15" hidden="false" customHeight="false" outlineLevel="0" collapsed="false">
      <c r="A6" s="1" t="s">
        <v>89</v>
      </c>
      <c r="B6" s="1" t="s">
        <v>90</v>
      </c>
    </row>
    <row r="7" customFormat="false" ht="15" hidden="false" customHeight="false" outlineLevel="0" collapsed="false">
      <c r="A7" s="1" t="s">
        <v>91</v>
      </c>
      <c r="B7" s="1" t="s">
        <v>92</v>
      </c>
    </row>
    <row r="8" customFormat="false" ht="15" hidden="false" customHeight="false" outlineLevel="0" collapsed="false">
      <c r="A8" s="1" t="s">
        <v>93</v>
      </c>
      <c r="B8" s="1" t="s">
        <v>94</v>
      </c>
    </row>
    <row r="9" customFormat="false" ht="15" hidden="false" customHeight="false" outlineLevel="0" collapsed="false">
      <c r="A9" s="1" t="s">
        <v>95</v>
      </c>
      <c r="B9" s="1" t="s">
        <v>96</v>
      </c>
    </row>
    <row r="10" customFormat="false" ht="15" hidden="false" customHeight="false" outlineLevel="0" collapsed="false">
      <c r="A10" s="1" t="s">
        <v>97</v>
      </c>
      <c r="B10" s="1" t="s">
        <v>98</v>
      </c>
    </row>
    <row r="11" customFormat="false" ht="15" hidden="false" customHeight="false" outlineLevel="0" collapsed="false">
      <c r="A11" s="1" t="s">
        <v>99</v>
      </c>
      <c r="B11" s="1" t="s">
        <v>100</v>
      </c>
    </row>
    <row r="12" customFormat="false" ht="15" hidden="false" customHeight="false" outlineLevel="0" collapsed="false">
      <c r="A12" s="1" t="s">
        <v>101</v>
      </c>
      <c r="B12" s="1" t="s">
        <v>102</v>
      </c>
    </row>
    <row r="13" customFormat="false" ht="15" hidden="false" customHeight="false" outlineLevel="0" collapsed="false">
      <c r="A13" s="1" t="s">
        <v>103</v>
      </c>
      <c r="B13" s="1" t="s">
        <v>104</v>
      </c>
    </row>
    <row r="14" customFormat="false" ht="15" hidden="false" customHeight="false" outlineLevel="0" collapsed="false">
      <c r="A14" s="1" t="s">
        <v>105</v>
      </c>
      <c r="B14" s="1" t="s">
        <v>106</v>
      </c>
    </row>
    <row r="15" customFormat="false" ht="15" hidden="false" customHeight="false" outlineLevel="0" collapsed="false">
      <c r="A15" s="1" t="s">
        <v>107</v>
      </c>
      <c r="B15" s="1" t="s">
        <v>108</v>
      </c>
    </row>
    <row r="16" customFormat="false" ht="15" hidden="false" customHeight="false" outlineLevel="0" collapsed="false">
      <c r="A16" s="1" t="s">
        <v>109</v>
      </c>
      <c r="B16" s="1" t="s">
        <v>110</v>
      </c>
    </row>
    <row r="17" customFormat="false" ht="15" hidden="false" customHeight="false" outlineLevel="0" collapsed="false">
      <c r="A17" s="1" t="s">
        <v>111</v>
      </c>
      <c r="B17" s="1" t="s">
        <v>112</v>
      </c>
    </row>
    <row r="18" customFormat="false" ht="15" hidden="false" customHeight="false" outlineLevel="0" collapsed="false">
      <c r="A18" s="1" t="s">
        <v>113</v>
      </c>
      <c r="B18" s="1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2026-04-01T21:07:07Z</dcterms:created>
  <dc:creator>openpyxl</dc:creator>
  <dc:description/>
  <dc:language>en-US</dc:language>
  <cp:lastModifiedBy/>
  <dcterms:modified xsi:type="dcterms:W3CDTF">2026-07-13T14:16:12Z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